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6891cf054996d0/Documents/"/>
    </mc:Choice>
  </mc:AlternateContent>
  <xr:revisionPtr revIDLastSave="0" documentId="8_{03F24B32-7CB3-42B8-A402-AF8CAB6A5116}" xr6:coauthVersionLast="47" xr6:coauthVersionMax="47" xr10:uidLastSave="{00000000-0000-0000-0000-000000000000}"/>
  <bookViews>
    <workbookView xWindow="-110" yWindow="-110" windowWidth="19420" windowHeight="10300" xr2:uid="{E2BB94EC-BB75-4603-9408-9FD1A225FEAF}"/>
  </bookViews>
  <sheets>
    <sheet name="Sales " sheetId="1" r:id="rId1"/>
    <sheet name="Purchases" sheetId="5" r:id="rId2"/>
    <sheet name="Expenses " sheetId="6" r:id="rId3"/>
    <sheet name="Cash" sheetId="7" r:id="rId4"/>
    <sheet name="Forecast" sheetId="10" r:id="rId5"/>
    <sheet name="Intelligence " sheetId="9" r:id="rId6"/>
    <sheet name="Dashboard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10" l="1"/>
  <c r="W10" i="10"/>
  <c r="W11" i="10" s="1"/>
  <c r="W12" i="10" s="1"/>
  <c r="W13" i="10" s="1"/>
  <c r="W14" i="10" s="1"/>
  <c r="W15" i="10" s="1"/>
  <c r="W16" i="10" s="1"/>
  <c r="W9" i="10"/>
  <c r="T16" i="10"/>
  <c r="T8" i="10"/>
  <c r="T7" i="10"/>
  <c r="T6" i="10"/>
  <c r="T5" i="10"/>
  <c r="Q6" i="10"/>
  <c r="Q7" i="10"/>
  <c r="Q8" i="10"/>
  <c r="Q9" i="10"/>
  <c r="Q10" i="10"/>
  <c r="Q11" i="10"/>
  <c r="Q12" i="10"/>
  <c r="Q13" i="10"/>
  <c r="Q14" i="10"/>
  <c r="Q15" i="10"/>
  <c r="Q16" i="10"/>
  <c r="Q5" i="10"/>
  <c r="E6" i="10"/>
  <c r="E7" i="10"/>
  <c r="E9" i="10"/>
  <c r="E10" i="10"/>
  <c r="E11" i="10"/>
  <c r="E12" i="10"/>
  <c r="E13" i="10"/>
  <c r="E14" i="10"/>
  <c r="C4" i="10"/>
  <c r="K4" i="7"/>
  <c r="C15" i="6"/>
  <c r="C17" i="5"/>
  <c r="A15" i="5"/>
  <c r="C19" i="1"/>
  <c r="C18" i="1"/>
  <c r="C17" i="1"/>
</calcChain>
</file>

<file path=xl/sharedStrings.xml><?xml version="1.0" encoding="utf-8"?>
<sst xmlns="http://schemas.openxmlformats.org/spreadsheetml/2006/main" count="266" uniqueCount="142">
  <si>
    <t xml:space="preserve">CashLens - BeanBox Café </t>
  </si>
  <si>
    <t xml:space="preserve">AI-Power Cash-Flow Decision Assistant </t>
  </si>
  <si>
    <t xml:space="preserve">Customer </t>
  </si>
  <si>
    <t xml:space="preserve">Invoice ID </t>
  </si>
  <si>
    <t xml:space="preserve">Invoice Date </t>
  </si>
  <si>
    <t xml:space="preserve">Expected Payment </t>
  </si>
  <si>
    <t>Status</t>
  </si>
  <si>
    <t xml:space="preserve">City Office LLC </t>
  </si>
  <si>
    <t>TechHub Dubai</t>
  </si>
  <si>
    <t>Downtown Co.</t>
  </si>
  <si>
    <t xml:space="preserve">BlueSky Media </t>
  </si>
  <si>
    <t>Palm Group</t>
  </si>
  <si>
    <t xml:space="preserve">Metro Offices </t>
  </si>
  <si>
    <t xml:space="preserve">Creek Consulting </t>
  </si>
  <si>
    <t>Gulf Design</t>
  </si>
  <si>
    <t xml:space="preserve">Horizon Trading </t>
  </si>
  <si>
    <t>INV012</t>
  </si>
  <si>
    <t>Amount (Dhs)</t>
  </si>
  <si>
    <t>25/09/2026</t>
  </si>
  <si>
    <t>20/10/2026</t>
  </si>
  <si>
    <t>15/10/2026</t>
  </si>
  <si>
    <t>Paid</t>
  </si>
  <si>
    <t>Total Sales</t>
  </si>
  <si>
    <t>Summary</t>
  </si>
  <si>
    <t>Oustanding Receivables</t>
  </si>
  <si>
    <t xml:space="preserve">Supplier </t>
  </si>
  <si>
    <t xml:space="preserve">Bill ID </t>
  </si>
  <si>
    <t xml:space="preserve">Bill Date </t>
  </si>
  <si>
    <t xml:space="preserve">Due Date </t>
  </si>
  <si>
    <t>BILL001</t>
  </si>
  <si>
    <t>BILL002</t>
  </si>
  <si>
    <t>BILL003</t>
  </si>
  <si>
    <t>BILL004</t>
  </si>
  <si>
    <t>BILL005</t>
  </si>
  <si>
    <t>BILL006</t>
  </si>
  <si>
    <t>BILL007</t>
  </si>
  <si>
    <t>BILL008</t>
  </si>
  <si>
    <t>BILL009</t>
  </si>
  <si>
    <t>BILL010</t>
  </si>
  <si>
    <t>BILL011</t>
  </si>
  <si>
    <t>BILL012</t>
  </si>
  <si>
    <t xml:space="preserve">Emirates Coffee Roasters </t>
  </si>
  <si>
    <t>FreshFoods UAE</t>
  </si>
  <si>
    <t xml:space="preserve">Gulf Equipments </t>
  </si>
  <si>
    <t>PackRight UAE</t>
  </si>
  <si>
    <t>Dairy Fresh UAE</t>
  </si>
  <si>
    <t>Al Noor Bakery</t>
  </si>
  <si>
    <t xml:space="preserve">Dubai Beverage Co. </t>
  </si>
  <si>
    <t xml:space="preserve">Clean Pro Services </t>
  </si>
  <si>
    <t xml:space="preserve">CoffeeTech Solutions </t>
  </si>
  <si>
    <t>22/09/26</t>
  </si>
  <si>
    <t>30/09/26</t>
  </si>
  <si>
    <t>15/10/26</t>
  </si>
  <si>
    <t>20/10/26</t>
  </si>
  <si>
    <t xml:space="preserve">Pending </t>
  </si>
  <si>
    <t>Total Purchases</t>
  </si>
  <si>
    <t xml:space="preserve">Payments Received </t>
  </si>
  <si>
    <t xml:space="preserve">Expenses </t>
  </si>
  <si>
    <t xml:space="preserve">Date </t>
  </si>
  <si>
    <t>Due Date</t>
  </si>
  <si>
    <t xml:space="preserve">Status </t>
  </si>
  <si>
    <t xml:space="preserve">Rent </t>
  </si>
  <si>
    <t xml:space="preserve">Salaries </t>
  </si>
  <si>
    <t>Electricity</t>
  </si>
  <si>
    <t xml:space="preserve">Water </t>
  </si>
  <si>
    <t xml:space="preserve">Internet </t>
  </si>
  <si>
    <t>Marketing</t>
  </si>
  <si>
    <t xml:space="preserve">Insurance </t>
  </si>
  <si>
    <t xml:space="preserve">Maintenance </t>
  </si>
  <si>
    <t xml:space="preserve">Staff Transport </t>
  </si>
  <si>
    <t>Software Subscriptions</t>
  </si>
  <si>
    <t>14/09/26</t>
  </si>
  <si>
    <t>15/09/26</t>
  </si>
  <si>
    <t>25/09/26</t>
  </si>
  <si>
    <t>20/09/26</t>
  </si>
  <si>
    <t>28/09/26</t>
  </si>
  <si>
    <t xml:space="preserve">Total Amount </t>
  </si>
  <si>
    <t>Date</t>
  </si>
  <si>
    <t>Opening Cash (Dhs)</t>
  </si>
  <si>
    <t>Cash In  (Dhs)</t>
  </si>
  <si>
    <t>Cash Out  (Dhs)</t>
  </si>
  <si>
    <t>Closing Cash (Dhs)</t>
  </si>
  <si>
    <t>19/09/2026</t>
  </si>
  <si>
    <t>Risk Level</t>
  </si>
  <si>
    <t>Reason</t>
  </si>
  <si>
    <t xml:space="preserve">Expenses Cash Out </t>
  </si>
  <si>
    <t xml:space="preserve">Total Cash Out </t>
  </si>
  <si>
    <t xml:space="preserve">Net Cash Flow </t>
  </si>
  <si>
    <t xml:space="preserve">Purchases Cash Out </t>
  </si>
  <si>
    <t>Projected Closing Cash</t>
  </si>
  <si>
    <t>Sales Cash In</t>
  </si>
  <si>
    <t xml:space="preserve">Cash In Date </t>
  </si>
  <si>
    <t xml:space="preserve"> Purchases Date </t>
  </si>
  <si>
    <t>Expenses Date</t>
  </si>
  <si>
    <t>N/A</t>
  </si>
  <si>
    <t>18/09/26</t>
  </si>
  <si>
    <t xml:space="preserve">Expense Status </t>
  </si>
  <si>
    <t>n/a</t>
  </si>
  <si>
    <t>30/9/2026</t>
  </si>
  <si>
    <t>25/9/26</t>
  </si>
  <si>
    <t>20/9/26</t>
  </si>
  <si>
    <t>28/9/26</t>
  </si>
  <si>
    <t>30/9/26</t>
  </si>
  <si>
    <t xml:space="preserve">Actual Cash Balance </t>
  </si>
  <si>
    <t>Minimum Cash Threshold (Dhs)</t>
  </si>
  <si>
    <t xml:space="preserve">Cash in hand </t>
  </si>
  <si>
    <t xml:space="preserve">Cash Out </t>
  </si>
  <si>
    <t>Projected Cash (Dhs)</t>
  </si>
  <si>
    <t>20/092026</t>
  </si>
  <si>
    <t>18/10/2026</t>
  </si>
  <si>
    <t>Critical</t>
  </si>
  <si>
    <t>Warning</t>
  </si>
  <si>
    <t xml:space="preserve">Warning </t>
  </si>
  <si>
    <t xml:space="preserve">Low Sales Cash - In, Smaller Expenses </t>
  </si>
  <si>
    <t>Low Yet Manageable Cash Inflow</t>
  </si>
  <si>
    <t>Expenses Exceed Income Significantly</t>
  </si>
  <si>
    <t xml:space="preserve">Rent+Salaries + Supplier Dues </t>
  </si>
  <si>
    <t xml:space="preserve">Multiple supplier payments </t>
  </si>
  <si>
    <t xml:space="preserve">High Accumulated Payables </t>
  </si>
  <si>
    <t xml:space="preserve">No incoming cash, added expenses </t>
  </si>
  <si>
    <t xml:space="preserve">increased operating expenses </t>
  </si>
  <si>
    <t xml:space="preserve">Utilities and Supplier Dues </t>
  </si>
  <si>
    <t xml:space="preserve">Cash outflow exceeds inflow </t>
  </si>
  <si>
    <t>No sales or major expenses</t>
  </si>
  <si>
    <t xml:space="preserve">High Accumulated Liabilities  </t>
  </si>
  <si>
    <t xml:space="preserve">Severe cash deficit </t>
  </si>
  <si>
    <t>Green Towers LLC</t>
  </si>
  <si>
    <t xml:space="preserve">Quotation Pending </t>
  </si>
  <si>
    <t>Sales Order Confirmed</t>
  </si>
  <si>
    <t>Marina Events Dubai</t>
  </si>
  <si>
    <t>S00003</t>
  </si>
  <si>
    <t>S00008</t>
  </si>
  <si>
    <t>S00009</t>
  </si>
  <si>
    <t>S00010</t>
  </si>
  <si>
    <t>S00011</t>
  </si>
  <si>
    <t>S00012</t>
  </si>
  <si>
    <t>S00013</t>
  </si>
  <si>
    <t>JLT Services Dubai</t>
  </si>
  <si>
    <t>S00014</t>
  </si>
  <si>
    <t>S00015</t>
  </si>
  <si>
    <t>S00016</t>
  </si>
  <si>
    <t>S00017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</si>
</sst>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[$د.إ.‏-3801];[Red]\-#,##0.00\ [$د.إ.‏-3801]"/>
    <numFmt numFmtId="165" formatCode="#,##0.00\ [$د.إ.‏-3801]"/>
    <numFmt numFmtId="166" formatCode="dd/mm/yy"/>
    <numFmt numFmtId="167" formatCode="mm/dd/yy"/>
    <numFmt numFmtId="168" formatCode="&quot;$&quot;#,##0.00"/>
    <numFmt numFmtId="169" formatCode="yyyy\-mm\-dd;@"/>
    <numFmt numFmtId="170" formatCode="[$-14C09]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ck">
        <color theme="4" tint="0.499984740745262"/>
      </top>
      <bottom style="thin">
        <color rgb="FF7F7F7F"/>
      </bottom>
      <diagonal/>
    </border>
    <border>
      <left/>
      <right style="thin">
        <color rgb="FF7F7F7F"/>
      </right>
      <top style="thick">
        <color theme="4" tint="0.499984740745262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  <border>
      <left style="thin">
        <color rgb="FF7F7F7F"/>
      </left>
      <right/>
      <top style="thick">
        <color theme="4" tint="0.499984740745262"/>
      </top>
      <bottom style="thin">
        <color rgb="FF3F3F3F"/>
      </bottom>
      <diagonal/>
    </border>
    <border>
      <left/>
      <right style="thin">
        <color rgb="FF7F7F7F"/>
      </right>
      <top style="thick">
        <color theme="4" tint="0.499984740745262"/>
      </top>
      <bottom style="thin">
        <color rgb="FF3F3F3F"/>
      </bottom>
      <diagonal/>
    </border>
    <border>
      <left/>
      <right/>
      <top style="thick">
        <color theme="4" tint="0.499984740745262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7F7F7F"/>
      </left>
      <right/>
      <top style="thick">
        <color theme="4" tint="0.49998474074526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 style="thin">
        <color indexed="64"/>
      </top>
      <bottom/>
      <diagonal/>
    </border>
    <border>
      <left/>
      <right style="thin">
        <color rgb="FF7F7F7F"/>
      </right>
      <top style="thick">
        <color theme="4" tint="0.499984740745262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2" borderId="3" applyNumberFormat="0" applyAlignment="0" applyProtection="0"/>
    <xf numFmtId="0" fontId="4" fillId="2" borderId="2" applyNumberFormat="0" applyAlignment="0" applyProtection="0"/>
    <xf numFmtId="0" fontId="1" fillId="3" borderId="4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30">
    <xf numFmtId="0" fontId="0" fillId="0" borderId="0" xfId="0"/>
    <xf numFmtId="0" fontId="4" fillId="2" borderId="2" xfId="3"/>
    <xf numFmtId="164" fontId="3" fillId="2" borderId="3" xfId="2" applyNumberFormat="1"/>
    <xf numFmtId="165" fontId="3" fillId="2" borderId="3" xfId="2" applyNumberFormat="1"/>
    <xf numFmtId="164" fontId="3" fillId="2" borderId="3" xfId="2" applyNumberFormat="1" applyAlignment="1">
      <alignment horizontal="right"/>
    </xf>
    <xf numFmtId="167" fontId="3" fillId="2" borderId="3" xfId="2" applyNumberFormat="1"/>
    <xf numFmtId="164" fontId="1" fillId="4" borderId="3" xfId="5" applyNumberFormat="1" applyBorder="1"/>
    <xf numFmtId="0" fontId="0" fillId="0" borderId="0" xfId="0" applyAlignment="1">
      <alignment horizontal="center"/>
    </xf>
    <xf numFmtId="164" fontId="1" fillId="4" borderId="0" xfId="5" applyNumberFormat="1" applyBorder="1" applyAlignment="1">
      <alignment horizontal="center"/>
    </xf>
    <xf numFmtId="0" fontId="6" fillId="4" borderId="8" xfId="5" applyFont="1" applyBorder="1" applyAlignment="1">
      <alignment horizontal="center"/>
    </xf>
    <xf numFmtId="14" fontId="8" fillId="2" borderId="2" xfId="3" applyNumberFormat="1" applyFont="1"/>
    <xf numFmtId="14" fontId="7" fillId="2" borderId="2" xfId="3" applyNumberFormat="1" applyFont="1"/>
    <xf numFmtId="0" fontId="6" fillId="0" borderId="0" xfId="6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4" xfId="4" applyFont="1" applyAlignment="1">
      <alignment horizontal="center"/>
    </xf>
    <xf numFmtId="165" fontId="3" fillId="2" borderId="7" xfId="2" applyNumberFormat="1" applyBorder="1" applyAlignment="1">
      <alignment horizontal="center"/>
    </xf>
    <xf numFmtId="0" fontId="3" fillId="2" borderId="8" xfId="2" applyBorder="1" applyAlignment="1">
      <alignment horizontal="center"/>
    </xf>
    <xf numFmtId="0" fontId="3" fillId="2" borderId="9" xfId="2" applyBorder="1" applyAlignment="1">
      <alignment horizontal="center"/>
    </xf>
    <xf numFmtId="164" fontId="3" fillId="2" borderId="7" xfId="2" applyNumberFormat="1" applyBorder="1" applyAlignment="1">
      <alignment horizontal="center"/>
    </xf>
    <xf numFmtId="0" fontId="3" fillId="2" borderId="3" xfId="2" applyAlignment="1">
      <alignment horizontal="center"/>
    </xf>
    <xf numFmtId="0" fontId="4" fillId="2" borderId="5" xfId="3" applyBorder="1" applyAlignment="1">
      <alignment horizontal="center"/>
    </xf>
    <xf numFmtId="0" fontId="4" fillId="2" borderId="6" xfId="3" applyBorder="1" applyAlignment="1">
      <alignment horizontal="center"/>
    </xf>
    <xf numFmtId="0" fontId="4" fillId="2" borderId="2" xfId="3" applyAlignment="1">
      <alignment horizontal="center"/>
    </xf>
    <xf numFmtId="14" fontId="3" fillId="2" borderId="3" xfId="2" applyNumberFormat="1" applyAlignment="1">
      <alignment horizontal="center"/>
    </xf>
    <xf numFmtId="166" fontId="3" fillId="2" borderId="3" xfId="2" applyNumberFormat="1" applyAlignment="1">
      <alignment horizontal="center"/>
    </xf>
    <xf numFmtId="0" fontId="2" fillId="0" borderId="1" xfId="1" applyAlignment="1">
      <alignment horizontal="center"/>
    </xf>
    <xf numFmtId="0" fontId="2" fillId="0" borderId="10" xfId="1" applyBorder="1" applyAlignment="1">
      <alignment horizontal="center"/>
    </xf>
    <xf numFmtId="0" fontId="3" fillId="2" borderId="7" xfId="2" applyBorder="1" applyAlignment="1">
      <alignment horizontal="center"/>
    </xf>
    <xf numFmtId="14" fontId="3" fillId="2" borderId="7" xfId="2" applyNumberFormat="1" applyBorder="1" applyAlignment="1">
      <alignment horizontal="center"/>
    </xf>
    <xf numFmtId="14" fontId="3" fillId="2" borderId="8" xfId="2" applyNumberFormat="1" applyBorder="1" applyAlignment="1">
      <alignment horizontal="center"/>
    </xf>
    <xf numFmtId="14" fontId="3" fillId="2" borderId="9" xfId="2" applyNumberFormat="1" applyBorder="1" applyAlignment="1">
      <alignment horizontal="center"/>
    </xf>
    <xf numFmtId="165" fontId="3" fillId="2" borderId="9" xfId="2" applyNumberFormat="1" applyBorder="1" applyAlignment="1">
      <alignment horizontal="center"/>
    </xf>
    <xf numFmtId="166" fontId="3" fillId="2" borderId="7" xfId="2" applyNumberFormat="1" applyBorder="1" applyAlignment="1">
      <alignment horizontal="center"/>
    </xf>
    <xf numFmtId="166" fontId="3" fillId="2" borderId="9" xfId="2" applyNumberFormat="1" applyBorder="1" applyAlignment="1">
      <alignment horizontal="center"/>
    </xf>
    <xf numFmtId="168" fontId="3" fillId="2" borderId="7" xfId="2" applyNumberFormat="1" applyBorder="1" applyAlignment="1">
      <alignment horizontal="center"/>
    </xf>
    <xf numFmtId="168" fontId="3" fillId="2" borderId="8" xfId="2" applyNumberFormat="1" applyBorder="1" applyAlignment="1">
      <alignment horizontal="center"/>
    </xf>
    <xf numFmtId="168" fontId="3" fillId="2" borderId="9" xfId="2" applyNumberFormat="1" applyBorder="1" applyAlignment="1">
      <alignment horizontal="center"/>
    </xf>
    <xf numFmtId="165" fontId="3" fillId="2" borderId="3" xfId="2" applyNumberFormat="1" applyAlignment="1">
      <alignment horizontal="center"/>
    </xf>
    <xf numFmtId="167" fontId="3" fillId="2" borderId="7" xfId="2" applyNumberFormat="1" applyBorder="1" applyAlignment="1">
      <alignment horizontal="center"/>
    </xf>
    <xf numFmtId="167" fontId="3" fillId="2" borderId="8" xfId="2" applyNumberFormat="1" applyBorder="1" applyAlignment="1">
      <alignment horizontal="center"/>
    </xf>
    <xf numFmtId="167" fontId="3" fillId="2" borderId="9" xfId="2" applyNumberFormat="1" applyBorder="1" applyAlignment="1">
      <alignment horizontal="center"/>
    </xf>
    <xf numFmtId="0" fontId="6" fillId="4" borderId="7" xfId="5" applyFont="1" applyBorder="1" applyAlignment="1">
      <alignment horizontal="center"/>
    </xf>
    <xf numFmtId="0" fontId="6" fillId="4" borderId="9" xfId="5" applyFont="1" applyBorder="1" applyAlignment="1">
      <alignment horizontal="center"/>
    </xf>
    <xf numFmtId="165" fontId="6" fillId="4" borderId="7" xfId="5" applyNumberFormat="1" applyFont="1" applyBorder="1" applyAlignment="1">
      <alignment horizontal="center"/>
    </xf>
    <xf numFmtId="167" fontId="1" fillId="4" borderId="7" xfId="5" applyNumberFormat="1" applyBorder="1" applyAlignment="1">
      <alignment horizontal="center"/>
    </xf>
    <xf numFmtId="167" fontId="1" fillId="4" borderId="8" xfId="5" applyNumberFormat="1" applyBorder="1" applyAlignment="1">
      <alignment horizontal="center"/>
    </xf>
    <xf numFmtId="167" fontId="1" fillId="4" borderId="9" xfId="5" applyNumberFormat="1" applyBorder="1" applyAlignment="1">
      <alignment horizontal="center"/>
    </xf>
    <xf numFmtId="0" fontId="1" fillId="4" borderId="7" xfId="5" applyBorder="1" applyAlignment="1">
      <alignment horizontal="center"/>
    </xf>
    <xf numFmtId="0" fontId="1" fillId="4" borderId="9" xfId="5" applyBorder="1" applyAlignment="1">
      <alignment horizontal="center"/>
    </xf>
    <xf numFmtId="0" fontId="4" fillId="2" borderId="11" xfId="3" applyBorder="1" applyAlignment="1">
      <alignment horizontal="center"/>
    </xf>
    <xf numFmtId="0" fontId="4" fillId="2" borderId="12" xfId="3" applyBorder="1" applyAlignment="1">
      <alignment horizontal="center"/>
    </xf>
    <xf numFmtId="0" fontId="4" fillId="2" borderId="13" xfId="3" applyBorder="1" applyAlignment="1">
      <alignment horizontal="center"/>
    </xf>
    <xf numFmtId="165" fontId="3" fillId="2" borderId="8" xfId="2" applyNumberFormat="1" applyBorder="1" applyAlignment="1">
      <alignment horizontal="center"/>
    </xf>
    <xf numFmtId="166" fontId="3" fillId="2" borderId="8" xfId="2" applyNumberFormat="1" applyBorder="1" applyAlignment="1">
      <alignment horizontal="center"/>
    </xf>
    <xf numFmtId="164" fontId="3" fillId="2" borderId="8" xfId="2" applyNumberFormat="1" applyBorder="1" applyAlignment="1">
      <alignment horizontal="center"/>
    </xf>
    <xf numFmtId="164" fontId="3" fillId="2" borderId="9" xfId="2" applyNumberFormat="1" applyBorder="1" applyAlignment="1">
      <alignment horizontal="center"/>
    </xf>
    <xf numFmtId="165" fontId="3" fillId="2" borderId="34" xfId="2" applyNumberFormat="1" applyBorder="1" applyAlignment="1">
      <alignment horizontal="center"/>
    </xf>
    <xf numFmtId="165" fontId="3" fillId="2" borderId="35" xfId="2" applyNumberFormat="1" applyBorder="1" applyAlignment="1">
      <alignment horizontal="center"/>
    </xf>
    <xf numFmtId="165" fontId="3" fillId="2" borderId="36" xfId="2" applyNumberFormat="1" applyBorder="1" applyAlignment="1">
      <alignment horizontal="center"/>
    </xf>
    <xf numFmtId="169" fontId="3" fillId="2" borderId="7" xfId="2" applyNumberFormat="1" applyBorder="1" applyAlignment="1">
      <alignment horizontal="center"/>
    </xf>
    <xf numFmtId="169" fontId="3" fillId="2" borderId="9" xfId="2" applyNumberFormat="1" applyBorder="1" applyAlignment="1">
      <alignment horizontal="center"/>
    </xf>
    <xf numFmtId="165" fontId="3" fillId="2" borderId="19" xfId="2" applyNumberFormat="1" applyBorder="1" applyAlignment="1">
      <alignment horizontal="center"/>
    </xf>
    <xf numFmtId="165" fontId="3" fillId="2" borderId="20" xfId="2" applyNumberFormat="1" applyBorder="1" applyAlignment="1">
      <alignment horizontal="center"/>
    </xf>
    <xf numFmtId="170" fontId="3" fillId="2" borderId="7" xfId="2" applyNumberFormat="1" applyBorder="1" applyAlignment="1">
      <alignment horizontal="center"/>
    </xf>
    <xf numFmtId="170" fontId="3" fillId="2" borderId="9" xfId="2" applyNumberFormat="1" applyBorder="1" applyAlignment="1">
      <alignment horizontal="center"/>
    </xf>
    <xf numFmtId="165" fontId="3" fillId="2" borderId="37" xfId="2" applyNumberFormat="1" applyBorder="1" applyAlignment="1">
      <alignment horizontal="center"/>
    </xf>
    <xf numFmtId="164" fontId="1" fillId="4" borderId="7" xfId="5" applyNumberFormat="1" applyBorder="1" applyAlignment="1">
      <alignment horizontal="center"/>
    </xf>
    <xf numFmtId="164" fontId="1" fillId="4" borderId="8" xfId="5" applyNumberFormat="1" applyBorder="1" applyAlignment="1">
      <alignment horizontal="center"/>
    </xf>
    <xf numFmtId="164" fontId="1" fillId="4" borderId="9" xfId="5" applyNumberFormat="1" applyBorder="1" applyAlignment="1">
      <alignment horizontal="center"/>
    </xf>
    <xf numFmtId="164" fontId="1" fillId="4" borderId="40" xfId="5" applyNumberFormat="1" applyBorder="1" applyAlignment="1">
      <alignment horizontal="center"/>
    </xf>
    <xf numFmtId="164" fontId="1" fillId="4" borderId="24" xfId="5" applyNumberFormat="1" applyBorder="1" applyAlignment="1">
      <alignment horizontal="center"/>
    </xf>
    <xf numFmtId="0" fontId="4" fillId="2" borderId="18" xfId="3" applyBorder="1" applyAlignment="1">
      <alignment horizontal="center"/>
    </xf>
    <xf numFmtId="0" fontId="4" fillId="2" borderId="28" xfId="3" applyBorder="1" applyAlignment="1">
      <alignment horizontal="center"/>
    </xf>
    <xf numFmtId="164" fontId="3" fillId="2" borderId="19" xfId="2" applyNumberFormat="1" applyBorder="1" applyAlignment="1">
      <alignment horizontal="center"/>
    </xf>
    <xf numFmtId="164" fontId="3" fillId="2" borderId="20" xfId="2" applyNumberFormat="1" applyBorder="1" applyAlignment="1">
      <alignment horizontal="center"/>
    </xf>
    <xf numFmtId="164" fontId="3" fillId="2" borderId="29" xfId="2" applyNumberFormat="1" applyBorder="1" applyAlignment="1">
      <alignment horizontal="center"/>
    </xf>
    <xf numFmtId="0" fontId="4" fillId="2" borderId="17" xfId="3" applyBorder="1" applyAlignment="1">
      <alignment horizontal="center"/>
    </xf>
    <xf numFmtId="0" fontId="2" fillId="0" borderId="25" xfId="1" applyBorder="1" applyAlignment="1">
      <alignment horizontal="center"/>
    </xf>
    <xf numFmtId="0" fontId="3" fillId="3" borderId="30" xfId="4" applyFont="1" applyBorder="1" applyAlignment="1">
      <alignment horizontal="center"/>
    </xf>
    <xf numFmtId="0" fontId="3" fillId="3" borderId="23" xfId="4" applyFont="1" applyBorder="1" applyAlignment="1">
      <alignment horizontal="center"/>
    </xf>
    <xf numFmtId="0" fontId="3" fillId="3" borderId="31" xfId="4" applyFont="1" applyBorder="1" applyAlignment="1">
      <alignment horizontal="center"/>
    </xf>
    <xf numFmtId="0" fontId="3" fillId="3" borderId="32" xfId="4" applyFont="1" applyBorder="1" applyAlignment="1">
      <alignment horizontal="center"/>
    </xf>
    <xf numFmtId="0" fontId="3" fillId="3" borderId="24" xfId="4" applyFont="1" applyBorder="1" applyAlignment="1">
      <alignment horizontal="center"/>
    </xf>
    <xf numFmtId="0" fontId="3" fillId="3" borderId="33" xfId="4" applyFont="1" applyBorder="1" applyAlignment="1">
      <alignment horizontal="center"/>
    </xf>
    <xf numFmtId="0" fontId="3" fillId="2" borderId="26" xfId="2" applyBorder="1" applyAlignment="1">
      <alignment horizontal="center"/>
    </xf>
    <xf numFmtId="0" fontId="3" fillId="2" borderId="0" xfId="2" applyBorder="1" applyAlignment="1">
      <alignment horizontal="center"/>
    </xf>
    <xf numFmtId="164" fontId="3" fillId="2" borderId="22" xfId="2" applyNumberFormat="1" applyBorder="1" applyAlignment="1">
      <alignment horizontal="center"/>
    </xf>
    <xf numFmtId="164" fontId="3" fillId="2" borderId="23" xfId="2" applyNumberFormat="1" applyBorder="1" applyAlignment="1">
      <alignment horizontal="center"/>
    </xf>
    <xf numFmtId="165" fontId="3" fillId="2" borderId="29" xfId="2" applyNumberFormat="1" applyBorder="1" applyAlignment="1">
      <alignment horizontal="center"/>
    </xf>
    <xf numFmtId="164" fontId="3" fillId="2" borderId="21" xfId="2" applyNumberFormat="1" applyBorder="1" applyAlignment="1">
      <alignment horizontal="center"/>
    </xf>
    <xf numFmtId="164" fontId="3" fillId="2" borderId="27" xfId="2" applyNumberFormat="1" applyBorder="1" applyAlignment="1">
      <alignment horizontal="center"/>
    </xf>
    <xf numFmtId="0" fontId="4" fillId="2" borderId="38" xfId="3" applyBorder="1" applyAlignment="1">
      <alignment horizontal="center"/>
    </xf>
    <xf numFmtId="0" fontId="4" fillId="2" borderId="39" xfId="3" applyBorder="1" applyAlignment="1">
      <alignment horizontal="center"/>
    </xf>
    <xf numFmtId="165" fontId="3" fillId="2" borderId="38" xfId="2" applyNumberFormat="1" applyBorder="1" applyAlignment="1">
      <alignment horizontal="center"/>
    </xf>
    <xf numFmtId="165" fontId="3" fillId="2" borderId="39" xfId="2" applyNumberFormat="1" applyBorder="1" applyAlignment="1">
      <alignment horizontal="center"/>
    </xf>
    <xf numFmtId="164" fontId="3" fillId="2" borderId="14" xfId="2" applyNumberFormat="1" applyBorder="1" applyAlignment="1">
      <alignment horizontal="center"/>
    </xf>
    <xf numFmtId="164" fontId="3" fillId="2" borderId="15" xfId="2" applyNumberFormat="1" applyBorder="1" applyAlignment="1">
      <alignment horizontal="center"/>
    </xf>
    <xf numFmtId="164" fontId="3" fillId="2" borderId="16" xfId="2" applyNumberFormat="1" applyBorder="1" applyAlignment="1">
      <alignment horizontal="center"/>
    </xf>
    <xf numFmtId="164" fontId="3" fillId="2" borderId="34" xfId="2" applyNumberFormat="1" applyBorder="1" applyAlignment="1">
      <alignment horizontal="center"/>
    </xf>
    <xf numFmtId="164" fontId="3" fillId="2" borderId="35" xfId="2" applyNumberFormat="1" applyBorder="1" applyAlignment="1">
      <alignment horizontal="center"/>
    </xf>
    <xf numFmtId="164" fontId="3" fillId="2" borderId="36" xfId="2" applyNumberFormat="1" applyBorder="1" applyAlignment="1">
      <alignment horizontal="center"/>
    </xf>
    <xf numFmtId="164" fontId="7" fillId="2" borderId="19" xfId="2" applyNumberFormat="1" applyFont="1" applyBorder="1" applyAlignment="1">
      <alignment horizontal="center"/>
    </xf>
    <xf numFmtId="164" fontId="7" fillId="2" borderId="20" xfId="2" applyNumberFormat="1" applyFont="1" applyBorder="1" applyAlignment="1">
      <alignment horizontal="center"/>
    </xf>
    <xf numFmtId="165" fontId="8" fillId="2" borderId="41" xfId="3" applyNumberFormat="1" applyFont="1" applyBorder="1" applyAlignment="1">
      <alignment horizontal="center"/>
    </xf>
    <xf numFmtId="165" fontId="8" fillId="2" borderId="42" xfId="3" applyNumberFormat="1" applyFont="1" applyBorder="1" applyAlignment="1">
      <alignment horizontal="center"/>
    </xf>
    <xf numFmtId="165" fontId="8" fillId="2" borderId="43" xfId="3" applyNumberFormat="1" applyFont="1" applyBorder="1" applyAlignment="1">
      <alignment horizontal="center"/>
    </xf>
    <xf numFmtId="165" fontId="7" fillId="2" borderId="41" xfId="3" applyNumberFormat="1" applyFont="1" applyBorder="1" applyAlignment="1">
      <alignment horizontal="center"/>
    </xf>
    <xf numFmtId="165" fontId="7" fillId="2" borderId="43" xfId="3" applyNumberFormat="1" applyFont="1" applyBorder="1" applyAlignment="1">
      <alignment horizontal="center"/>
    </xf>
    <xf numFmtId="165" fontId="7" fillId="2" borderId="42" xfId="3" applyNumberFormat="1" applyFont="1" applyBorder="1" applyAlignment="1">
      <alignment horizontal="center"/>
    </xf>
    <xf numFmtId="0" fontId="8" fillId="2" borderId="47" xfId="3" applyFont="1" applyBorder="1" applyAlignment="1">
      <alignment horizontal="center"/>
    </xf>
    <xf numFmtId="0" fontId="8" fillId="2" borderId="48" xfId="3" applyFont="1" applyBorder="1" applyAlignment="1">
      <alignment horizontal="center"/>
    </xf>
    <xf numFmtId="0" fontId="8" fillId="2" borderId="49" xfId="3" applyFont="1" applyBorder="1" applyAlignment="1">
      <alignment horizontal="center"/>
    </xf>
    <xf numFmtId="0" fontId="8" fillId="2" borderId="50" xfId="3" applyFont="1" applyBorder="1" applyAlignment="1">
      <alignment horizontal="center"/>
    </xf>
    <xf numFmtId="0" fontId="8" fillId="2" borderId="20" xfId="3" applyFont="1" applyBorder="1" applyAlignment="1">
      <alignment horizontal="center"/>
    </xf>
    <xf numFmtId="0" fontId="8" fillId="2" borderId="51" xfId="3" applyFont="1" applyBorder="1" applyAlignment="1">
      <alignment horizontal="center"/>
    </xf>
    <xf numFmtId="0" fontId="8" fillId="2" borderId="44" xfId="3" applyFont="1" applyBorder="1" applyAlignment="1">
      <alignment horizontal="center"/>
    </xf>
    <xf numFmtId="0" fontId="8" fillId="2" borderId="45" xfId="3" applyFont="1" applyBorder="1" applyAlignment="1">
      <alignment horizontal="center"/>
    </xf>
    <xf numFmtId="0" fontId="8" fillId="2" borderId="46" xfId="3" applyFont="1" applyBorder="1" applyAlignment="1">
      <alignment horizontal="center"/>
    </xf>
    <xf numFmtId="0" fontId="8" fillId="2" borderId="41" xfId="3" applyFont="1" applyBorder="1" applyAlignment="1">
      <alignment horizontal="center"/>
    </xf>
    <xf numFmtId="0" fontId="8" fillId="2" borderId="43" xfId="3" applyFont="1" applyBorder="1" applyAlignment="1">
      <alignment horizontal="center"/>
    </xf>
    <xf numFmtId="0" fontId="8" fillId="2" borderId="42" xfId="3" applyFont="1" applyBorder="1" applyAlignment="1">
      <alignment horizontal="center"/>
    </xf>
    <xf numFmtId="0" fontId="8" fillId="2" borderId="52" xfId="3" applyFont="1" applyBorder="1" applyAlignment="1">
      <alignment horizontal="center"/>
    </xf>
    <xf numFmtId="0" fontId="8" fillId="2" borderId="53" xfId="3" applyFont="1" applyBorder="1" applyAlignment="1">
      <alignment horizontal="center"/>
    </xf>
    <xf numFmtId="0" fontId="8" fillId="2" borderId="54" xfId="3" applyFont="1" applyBorder="1" applyAlignment="1">
      <alignment horizontal="center"/>
    </xf>
    <xf numFmtId="0" fontId="7" fillId="2" borderId="44" xfId="3" applyFont="1" applyBorder="1" applyAlignment="1">
      <alignment horizontal="center"/>
    </xf>
    <xf numFmtId="0" fontId="7" fillId="2" borderId="45" xfId="3" applyFont="1" applyBorder="1" applyAlignment="1">
      <alignment horizontal="center"/>
    </xf>
    <xf numFmtId="0" fontId="7" fillId="2" borderId="46" xfId="3" applyFont="1" applyBorder="1" applyAlignment="1">
      <alignment horizontal="center"/>
    </xf>
    <xf numFmtId="0" fontId="7" fillId="2" borderId="41" xfId="3" applyFont="1" applyBorder="1" applyAlignment="1">
      <alignment horizontal="center"/>
    </xf>
    <xf numFmtId="0" fontId="7" fillId="2" borderId="43" xfId="3" applyFont="1" applyBorder="1" applyAlignment="1">
      <alignment horizontal="center"/>
    </xf>
    <xf numFmtId="0" fontId="7" fillId="2" borderId="42" xfId="3" applyFont="1" applyBorder="1" applyAlignment="1">
      <alignment horizontal="center"/>
    </xf>
  </cellXfs>
  <cellStyles count="7">
    <cellStyle name="20% - Accent2" xfId="6" builtinId="34"/>
    <cellStyle name="40% - Accent2" xfId="5" builtinId="35"/>
    <cellStyle name="Calculation" xfId="3" builtinId="22"/>
    <cellStyle name="Heading 2" xfId="1" builtinId="17"/>
    <cellStyle name="Normal" xfId="0" builtinId="0"/>
    <cellStyle name="Note" xfId="4" builtinId="10"/>
    <cellStyle name="Output" xfId="2" builtinId="21"/>
  </cellStyles>
  <dxfs count="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171452</xdr:colOff>
      <xdr:row>6</xdr:row>
      <xdr:rowOff>163286</xdr:rowOff>
    </xdr:from>
    <xdr:to>
      <xdr:col>3</xdr:col>
      <xdr:colOff>350631</xdr:colOff>
      <xdr:row>11</xdr:row>
      <xdr:rowOff>161399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BC55EC-E951-449E-C055-2E1D4E8D6538}"/>
            </a:ext>
          </a:extLst>
        </xdr:cNvPr>
        <xdr:cNvSpPr/>
      </xdr:nvSpPr>
      <xdr:spPr>
        <a:xfrm>
          <a:off x="171452" y="1260929"/>
          <a:ext cx="2002536" cy="905256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600" b="1"/>
            <a:t>Cash In Hand</a:t>
          </a:r>
        </a:p>
        <a:p>
          <a:pPr algn="l"/>
          <a:r>
            <a:rPr lang="en-AE" sz="1600" b="1">
              <a:solidFill>
                <a:srgbClr val="FFFF00"/>
              </a:solidFill>
            </a:rPr>
            <a:t> 50000</a:t>
          </a:r>
          <a:r>
            <a:rPr lang="en-AE" sz="1600" b="1" baseline="0">
              <a:solidFill>
                <a:srgbClr val="FFFF00"/>
              </a:solidFill>
            </a:rPr>
            <a:t> Dhs</a:t>
          </a:r>
        </a:p>
        <a:p>
          <a:pPr algn="l"/>
          <a:endParaRPr lang="en-AE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4</xdr:col>
      <xdr:colOff>108856</xdr:colOff>
      <xdr:row>6</xdr:row>
      <xdr:rowOff>163287</xdr:rowOff>
    </xdr:from>
    <xdr:to>
      <xdr:col>7</xdr:col>
      <xdr:colOff>288035</xdr:colOff>
      <xdr:row>11</xdr:row>
      <xdr:rowOff>161400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BA8B49-5A31-83E3-7D28-7E3AB47FC997}"/>
            </a:ext>
          </a:extLst>
        </xdr:cNvPr>
        <xdr:cNvSpPr/>
      </xdr:nvSpPr>
      <xdr:spPr>
        <a:xfrm>
          <a:off x="2539999" y="1260930"/>
          <a:ext cx="2002536" cy="90525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600" b="1"/>
            <a:t>Projected</a:t>
          </a:r>
          <a:r>
            <a:rPr lang="en-AE" sz="1600" b="1" baseline="0"/>
            <a:t> Cash</a:t>
          </a:r>
        </a:p>
        <a:p>
          <a:pPr algn="l"/>
          <a:r>
            <a:rPr lang="en-AE" sz="1600" b="1" baseline="0">
              <a:solidFill>
                <a:srgbClr val="FFFF00"/>
              </a:solidFill>
            </a:rPr>
            <a:t>-99000 Dhs </a:t>
          </a:r>
        </a:p>
        <a:p>
          <a:pPr algn="l"/>
          <a:endParaRPr lang="en-AE" sz="1100" b="1" baseline="0"/>
        </a:p>
        <a:p>
          <a:pPr algn="l"/>
          <a:endParaRPr lang="en-AE" sz="1100"/>
        </a:p>
      </xdr:txBody>
    </xdr:sp>
    <xdr:clientData/>
  </xdr:twoCellAnchor>
  <xdr:twoCellAnchor>
    <xdr:from>
      <xdr:col>11</xdr:col>
      <xdr:colOff>529346</xdr:colOff>
      <xdr:row>6</xdr:row>
      <xdr:rowOff>136071</xdr:rowOff>
    </xdr:from>
    <xdr:to>
      <xdr:col>15</xdr:col>
      <xdr:colOff>99785</xdr:colOff>
      <xdr:row>11</xdr:row>
      <xdr:rowOff>130969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C5AD05-64AC-6964-2E1C-C65BB66AAE97}"/>
            </a:ext>
          </a:extLst>
        </xdr:cNvPr>
        <xdr:cNvSpPr/>
      </xdr:nvSpPr>
      <xdr:spPr>
        <a:xfrm>
          <a:off x="7214989" y="1233714"/>
          <a:ext cx="2001582" cy="902041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600" b="1"/>
            <a:t>Min.</a:t>
          </a:r>
          <a:r>
            <a:rPr lang="en-AE" sz="1600" b="1" baseline="0"/>
            <a:t> Cash Threshold</a:t>
          </a:r>
        </a:p>
        <a:p>
          <a:pPr algn="l"/>
          <a:r>
            <a:rPr lang="en-AE" sz="1600" b="1" baseline="0">
              <a:solidFill>
                <a:srgbClr val="FFFF00"/>
              </a:solidFill>
            </a:rPr>
            <a:t>20000 Dhs </a:t>
          </a:r>
          <a:endParaRPr lang="en-AE" sz="1600" b="1">
            <a:solidFill>
              <a:srgbClr val="FFFF00"/>
            </a:solidFill>
          </a:endParaRPr>
        </a:p>
      </xdr:txBody>
    </xdr:sp>
    <xdr:clientData/>
  </xdr:twoCellAnchor>
  <xdr:twoCellAnchor>
    <xdr:from>
      <xdr:col>7</xdr:col>
      <xdr:colOff>525377</xdr:colOff>
      <xdr:row>6</xdr:row>
      <xdr:rowOff>163285</xdr:rowOff>
    </xdr:from>
    <xdr:to>
      <xdr:col>11</xdr:col>
      <xdr:colOff>96770</xdr:colOff>
      <xdr:row>11</xdr:row>
      <xdr:rowOff>164345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B128C5-20F6-A3D4-435D-79C7908DA975}"/>
            </a:ext>
          </a:extLst>
        </xdr:cNvPr>
        <xdr:cNvSpPr/>
      </xdr:nvSpPr>
      <xdr:spPr>
        <a:xfrm>
          <a:off x="4779877" y="1260928"/>
          <a:ext cx="2002536" cy="9082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600" b="1"/>
            <a:t>Cash Out</a:t>
          </a:r>
        </a:p>
        <a:p>
          <a:pPr algn="l"/>
          <a:r>
            <a:rPr lang="en-AE" sz="1600" b="1">
              <a:solidFill>
                <a:srgbClr val="FFFF00"/>
              </a:solidFill>
            </a:rPr>
            <a:t>7500 Dhs</a:t>
          </a:r>
        </a:p>
      </xdr:txBody>
    </xdr:sp>
    <xdr:clientData/>
  </xdr:twoCellAnchor>
  <xdr:twoCellAnchor>
    <xdr:from>
      <xdr:col>2</xdr:col>
      <xdr:colOff>590361</xdr:colOff>
      <xdr:row>13</xdr:row>
      <xdr:rowOff>103288</xdr:rowOff>
    </xdr:from>
    <xdr:to>
      <xdr:col>14</xdr:col>
      <xdr:colOff>562429</xdr:colOff>
      <xdr:row>17</xdr:row>
      <xdr:rowOff>145143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FD1217-5250-0CBE-54E2-AE1AC31F22C4}"/>
            </a:ext>
          </a:extLst>
        </xdr:cNvPr>
        <xdr:cNvSpPr/>
      </xdr:nvSpPr>
      <xdr:spPr>
        <a:xfrm>
          <a:off x="1805932" y="2470931"/>
          <a:ext cx="7265497" cy="767569"/>
        </a:xfrm>
        <a:prstGeom prst="rect">
          <a:avLst/>
        </a:prstGeom>
        <a:solidFill>
          <a:schemeClr val="bg2"/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E" sz="1400" b="1">
              <a:solidFill>
                <a:srgbClr val="C00000"/>
              </a:solidFill>
            </a:rPr>
            <a:t>CURRENT</a:t>
          </a:r>
          <a:r>
            <a:rPr lang="en-AE" sz="1400" b="1" baseline="0">
              <a:solidFill>
                <a:srgbClr val="C00000"/>
              </a:solidFill>
            </a:rPr>
            <a:t> RISK LEVEL</a:t>
          </a:r>
        </a:p>
        <a:p>
          <a:pPr algn="ctr"/>
          <a:r>
            <a:rPr lang="en-AE" sz="1400" b="1" baseline="0">
              <a:solidFill>
                <a:sysClr val="windowText" lastClr="000000"/>
              </a:solidFill>
            </a:rPr>
            <a:t>When Projected Cash &lt; Min Threshold</a:t>
          </a:r>
        </a:p>
        <a:p>
          <a:pPr algn="ctr"/>
          <a:r>
            <a:rPr lang="en-AE" sz="1400" b="1">
              <a:solidFill>
                <a:srgbClr val="C00000"/>
              </a:solidFill>
            </a:rPr>
            <a:t>CRITICAL</a:t>
          </a:r>
          <a:r>
            <a:rPr lang="en-AE" sz="1400">
              <a:solidFill>
                <a:srgbClr val="C00000"/>
              </a:solidFill>
            </a:rPr>
            <a:t> </a:t>
          </a:r>
        </a:p>
      </xdr:txBody>
    </xdr:sp>
    <xdr:clientData/>
  </xdr:twoCellAnchor>
  <xdr:twoCellAnchor>
    <xdr:from>
      <xdr:col>9</xdr:col>
      <xdr:colOff>385941</xdr:colOff>
      <xdr:row>16</xdr:row>
      <xdr:rowOff>68441</xdr:rowOff>
    </xdr:from>
    <xdr:to>
      <xdr:col>9</xdr:col>
      <xdr:colOff>536831</xdr:colOff>
      <xdr:row>17</xdr:row>
      <xdr:rowOff>30718</xdr:rowOff>
    </xdr:to>
    <xdr:sp macro="" textlink="">
      <xdr:nvSpPr>
        <xdr:cNvPr id="7" name="Hexagon 6">
          <a:extLst>
            <a:ext uri="{FF2B5EF4-FFF2-40B4-BE49-F238E27FC236}">
              <a16:creationId xmlns:a16="http://schemas.microsoft.com/office/drawing/2014/main" id="{9C4F06DE-E9F2-6274-DF85-23D496BB76C1}"/>
            </a:ext>
          </a:extLst>
        </xdr:cNvPr>
        <xdr:cNvSpPr/>
      </xdr:nvSpPr>
      <xdr:spPr>
        <a:xfrm>
          <a:off x="5856012" y="2980370"/>
          <a:ext cx="150890" cy="143705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oneCell">
    <xdr:from>
      <xdr:col>0</xdr:col>
      <xdr:colOff>444500</xdr:colOff>
      <xdr:row>18</xdr:row>
      <xdr:rowOff>101462</xdr:rowOff>
    </xdr:from>
    <xdr:to>
      <xdr:col>9</xdr:col>
      <xdr:colOff>254000</xdr:colOff>
      <xdr:row>35</xdr:row>
      <xdr:rowOff>97049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77AB2E-B0EF-1CBE-3279-D6979054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3376248"/>
          <a:ext cx="5279571" cy="30798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563475</xdr:colOff>
      <xdr:row>18</xdr:row>
      <xdr:rowOff>90714</xdr:rowOff>
    </xdr:from>
    <xdr:to>
      <xdr:col>21</xdr:col>
      <xdr:colOff>471714</xdr:colOff>
      <xdr:row>34</xdr:row>
      <xdr:rowOff>170578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B4F3E4-1D1C-E1C0-09DE-99C371E7B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904" y="3365500"/>
          <a:ext cx="5378310" cy="298272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297129</xdr:colOff>
      <xdr:row>37</xdr:row>
      <xdr:rowOff>150553</xdr:rowOff>
    </xdr:from>
    <xdr:to>
      <xdr:col>16</xdr:col>
      <xdr:colOff>208006</xdr:colOff>
      <xdr:row>40</xdr:row>
      <xdr:rowOff>69389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1206EE-6C35-D3E9-153C-44B396EC0322}"/>
            </a:ext>
          </a:extLst>
        </xdr:cNvPr>
        <xdr:cNvSpPr/>
      </xdr:nvSpPr>
      <xdr:spPr>
        <a:xfrm>
          <a:off x="297129" y="6872482"/>
          <a:ext cx="9635448" cy="46312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E" sz="2000" b="1" u="sng"/>
            <a:t>CASH</a:t>
          </a:r>
          <a:r>
            <a:rPr lang="en-AE" sz="2000" b="1" u="sng" baseline="0"/>
            <a:t>LENS INTELLIGENCE BOX </a:t>
          </a:r>
          <a:endParaRPr lang="en-AE" sz="2000" b="1" u="sng"/>
        </a:p>
      </xdr:txBody>
    </xdr:sp>
    <xdr:clientData/>
  </xdr:twoCellAnchor>
  <xdr:twoCellAnchor>
    <xdr:from>
      <xdr:col>9</xdr:col>
      <xdr:colOff>263072</xdr:colOff>
      <xdr:row>1</xdr:row>
      <xdr:rowOff>27214</xdr:rowOff>
    </xdr:from>
    <xdr:to>
      <xdr:col>19</xdr:col>
      <xdr:colOff>544286</xdr:colOff>
      <xdr:row>3</xdr:row>
      <xdr:rowOff>108857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2A5A4A-CC8A-B9D4-78F4-66B38993E510}"/>
            </a:ext>
          </a:extLst>
        </xdr:cNvPr>
        <xdr:cNvSpPr txBox="1"/>
      </xdr:nvSpPr>
      <xdr:spPr>
        <a:xfrm>
          <a:off x="5733143" y="208643"/>
          <a:ext cx="6359072" cy="45357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AE" sz="2000" b="1" u="sng"/>
            <a:t>CASHLENS FINANCIAL </a:t>
          </a:r>
          <a:r>
            <a:rPr lang="en-AE" sz="2000" b="1" u="sng" baseline="0"/>
            <a:t> DASHBAORD </a:t>
          </a:r>
          <a:endParaRPr lang="en-AE" sz="2000" b="1" u="sng"/>
        </a:p>
      </xdr:txBody>
    </xdr:sp>
    <xdr:clientData/>
  </xdr:twoCellAnchor>
  <xdr:twoCellAnchor>
    <xdr:from>
      <xdr:col>0</xdr:col>
      <xdr:colOff>489857</xdr:colOff>
      <xdr:row>41</xdr:row>
      <xdr:rowOff>81643</xdr:rowOff>
    </xdr:from>
    <xdr:to>
      <xdr:col>15</xdr:col>
      <xdr:colOff>435428</xdr:colOff>
      <xdr:row>46</xdr:row>
      <xdr:rowOff>172357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81C6D-2BCC-492A-FCFC-517591BD36B7}"/>
            </a:ext>
          </a:extLst>
        </xdr:cNvPr>
        <xdr:cNvSpPr txBox="1"/>
      </xdr:nvSpPr>
      <xdr:spPr>
        <a:xfrm>
          <a:off x="489857" y="7529286"/>
          <a:ext cx="9062357" cy="99785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Current Risk:</a:t>
          </a:r>
          <a:r>
            <a:rPr lang="en-US" sz="1800"/>
            <a:t> </a:t>
          </a:r>
          <a:r>
            <a:rPr lang="en-US" sz="1800" b="1">
              <a:solidFill>
                <a:srgbClr val="FF0000"/>
              </a:solidFill>
            </a:rPr>
            <a:t>Critical</a:t>
          </a:r>
          <a:br>
            <a:rPr lang="en-US" sz="1800"/>
          </a:br>
          <a:r>
            <a:rPr lang="en-US" sz="1800" b="1"/>
            <a:t>Projected Cash: Dhs -99,000</a:t>
          </a:r>
          <a:br>
            <a:rPr lang="en-US" sz="1800" b="1"/>
          </a:br>
          <a:r>
            <a:rPr lang="en-US" sz="1800" b="1"/>
            <a:t>Reason: High accumulated liabilities </a:t>
          </a:r>
          <a:endParaRPr lang="en-AE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4406-B37D-431E-A18B-A2AE29C02647}">
  <dimension ref="A1:L74"/>
  <sheetViews>
    <sheetView tabSelected="1" topLeftCell="A3" workbookViewId="0">
      <selection activeCell="H12" sqref="H12"/>
    </sheetView>
  </sheetViews>
  <sheetFormatPr defaultRowHeight="14.5" x14ac:dyDescent="0.35"/>
  <cols>
    <col min="8" max="8" width="11.453125" bestFit="1" customWidth="1"/>
  </cols>
  <sheetData>
    <row r="1" spans="1:12" ht="17.5" thickBot="1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2" ht="18" thickTop="1" thickBot="1" x14ac:dyDescent="0.4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2" ht="15" thickTop="1" x14ac:dyDescent="0.35">
      <c r="A3" s="20" t="s">
        <v>2</v>
      </c>
      <c r="B3" s="21"/>
      <c r="C3" s="22" t="s">
        <v>3</v>
      </c>
      <c r="D3" s="22"/>
      <c r="E3" s="22" t="s">
        <v>4</v>
      </c>
      <c r="F3" s="22"/>
      <c r="G3" s="22"/>
      <c r="H3" s="1" t="s">
        <v>17</v>
      </c>
      <c r="I3" s="22" t="s">
        <v>5</v>
      </c>
      <c r="J3" s="22"/>
      <c r="K3" s="22" t="s">
        <v>6</v>
      </c>
      <c r="L3" s="22"/>
    </row>
    <row r="4" spans="1:12" x14ac:dyDescent="0.35">
      <c r="A4" s="19" t="s">
        <v>7</v>
      </c>
      <c r="B4" s="19"/>
      <c r="C4" s="19" t="s">
        <v>130</v>
      </c>
      <c r="D4" s="19"/>
      <c r="E4" s="24">
        <v>46266</v>
      </c>
      <c r="F4" s="24"/>
      <c r="G4" s="24"/>
      <c r="H4" s="3">
        <v>12000</v>
      </c>
      <c r="I4" s="24">
        <v>46275</v>
      </c>
      <c r="J4" s="24"/>
      <c r="K4" s="19" t="s">
        <v>21</v>
      </c>
      <c r="L4" s="19"/>
    </row>
    <row r="5" spans="1:12" x14ac:dyDescent="0.35">
      <c r="A5" s="19" t="s">
        <v>126</v>
      </c>
      <c r="B5" s="19"/>
      <c r="C5" s="19" t="s">
        <v>131</v>
      </c>
      <c r="D5" s="19"/>
      <c r="E5" s="24">
        <v>46268</v>
      </c>
      <c r="F5" s="24"/>
      <c r="G5" s="24"/>
      <c r="H5" s="2">
        <v>18000</v>
      </c>
      <c r="I5" s="24">
        <v>46290</v>
      </c>
      <c r="J5" s="24"/>
      <c r="K5" s="19" t="s">
        <v>127</v>
      </c>
      <c r="L5" s="19"/>
    </row>
    <row r="6" spans="1:12" x14ac:dyDescent="0.35">
      <c r="A6" s="19" t="s">
        <v>8</v>
      </c>
      <c r="B6" s="19"/>
      <c r="C6" s="19" t="s">
        <v>132</v>
      </c>
      <c r="D6" s="19"/>
      <c r="E6" s="24">
        <v>46270</v>
      </c>
      <c r="F6" s="24"/>
      <c r="G6" s="24"/>
      <c r="H6" s="2">
        <v>25000</v>
      </c>
      <c r="I6" s="24">
        <v>46300</v>
      </c>
      <c r="J6" s="24"/>
      <c r="K6" s="19" t="s">
        <v>127</v>
      </c>
      <c r="L6" s="19"/>
    </row>
    <row r="7" spans="1:12" x14ac:dyDescent="0.35">
      <c r="A7" s="19" t="s">
        <v>129</v>
      </c>
      <c r="B7" s="19"/>
      <c r="C7" s="19" t="s">
        <v>133</v>
      </c>
      <c r="D7" s="19"/>
      <c r="E7" s="24">
        <v>46273</v>
      </c>
      <c r="F7" s="24"/>
      <c r="G7" s="24"/>
      <c r="H7" s="2">
        <v>15000</v>
      </c>
      <c r="I7" s="24">
        <v>46310</v>
      </c>
      <c r="J7" s="24"/>
      <c r="K7" s="19" t="s">
        <v>127</v>
      </c>
      <c r="L7" s="19"/>
    </row>
    <row r="8" spans="1:12" x14ac:dyDescent="0.35">
      <c r="A8" s="19" t="s">
        <v>9</v>
      </c>
      <c r="B8" s="19"/>
      <c r="C8" s="19" t="s">
        <v>134</v>
      </c>
      <c r="D8" s="19"/>
      <c r="E8" s="24">
        <v>46275</v>
      </c>
      <c r="F8" s="24"/>
      <c r="G8" s="24"/>
      <c r="H8" s="2">
        <v>9500</v>
      </c>
      <c r="I8" s="24">
        <v>46293</v>
      </c>
      <c r="J8" s="24"/>
      <c r="K8" s="19" t="s">
        <v>127</v>
      </c>
      <c r="L8" s="19"/>
    </row>
    <row r="9" spans="1:12" x14ac:dyDescent="0.35">
      <c r="A9" s="19" t="s">
        <v>10</v>
      </c>
      <c r="B9" s="19"/>
      <c r="C9" s="19" t="s">
        <v>135</v>
      </c>
      <c r="D9" s="19"/>
      <c r="E9" s="24">
        <v>46277</v>
      </c>
      <c r="F9" s="24"/>
      <c r="G9" s="24"/>
      <c r="H9" s="2">
        <v>7500</v>
      </c>
      <c r="I9" s="24">
        <v>46297</v>
      </c>
      <c r="J9" s="24"/>
      <c r="K9" s="19" t="s">
        <v>127</v>
      </c>
      <c r="L9" s="19"/>
    </row>
    <row r="10" spans="1:12" x14ac:dyDescent="0.35">
      <c r="A10" s="19" t="s">
        <v>137</v>
      </c>
      <c r="B10" s="19"/>
      <c r="C10" s="19" t="s">
        <v>136</v>
      </c>
      <c r="D10" s="19"/>
      <c r="E10" s="24">
        <v>46279</v>
      </c>
      <c r="F10" s="24"/>
      <c r="G10" s="24"/>
      <c r="H10" s="2">
        <v>11000</v>
      </c>
      <c r="I10" s="24">
        <v>46295</v>
      </c>
      <c r="J10" s="24"/>
      <c r="K10" s="19" t="s">
        <v>127</v>
      </c>
      <c r="L10" s="19"/>
    </row>
    <row r="11" spans="1:12" x14ac:dyDescent="0.35">
      <c r="A11" s="19" t="s">
        <v>11</v>
      </c>
      <c r="B11" s="19"/>
      <c r="C11" s="19" t="s">
        <v>138</v>
      </c>
      <c r="D11" s="19"/>
      <c r="E11" s="24">
        <v>46280</v>
      </c>
      <c r="F11" s="24"/>
      <c r="G11" s="24"/>
      <c r="H11" s="2">
        <v>16000</v>
      </c>
      <c r="I11" s="23">
        <v>46366</v>
      </c>
      <c r="J11" s="19"/>
      <c r="K11" s="19" t="s">
        <v>127</v>
      </c>
      <c r="L11" s="19"/>
    </row>
    <row r="12" spans="1:12" ht="13.5" customHeight="1" x14ac:dyDescent="0.35">
      <c r="A12" s="19" t="s">
        <v>12</v>
      </c>
      <c r="B12" s="19"/>
      <c r="C12" s="19" t="s">
        <v>139</v>
      </c>
      <c r="D12" s="19"/>
      <c r="E12" s="24">
        <v>46281</v>
      </c>
      <c r="F12" s="24"/>
      <c r="G12" s="24"/>
      <c r="H12" s="2">
        <v>8500</v>
      </c>
      <c r="I12" s="19" t="s">
        <v>18</v>
      </c>
      <c r="J12" s="19"/>
      <c r="K12" s="19" t="s">
        <v>128</v>
      </c>
      <c r="L12" s="19"/>
    </row>
    <row r="13" spans="1:12" x14ac:dyDescent="0.35">
      <c r="A13" s="19" t="s">
        <v>13</v>
      </c>
      <c r="B13" s="19"/>
      <c r="C13" s="19" t="s">
        <v>140</v>
      </c>
      <c r="D13" s="19"/>
      <c r="E13" s="24">
        <v>46282</v>
      </c>
      <c r="F13" s="24"/>
      <c r="G13" s="24"/>
      <c r="H13" s="2">
        <v>14000</v>
      </c>
      <c r="I13" s="19" t="s">
        <v>19</v>
      </c>
      <c r="J13" s="19"/>
      <c r="K13" s="19" t="s">
        <v>128</v>
      </c>
      <c r="L13" s="19"/>
    </row>
    <row r="14" spans="1:12" x14ac:dyDescent="0.35">
      <c r="A14" s="19" t="s">
        <v>14</v>
      </c>
      <c r="B14" s="19"/>
      <c r="C14" s="19" t="s">
        <v>141</v>
      </c>
      <c r="D14" s="19"/>
      <c r="E14" s="24">
        <v>46283</v>
      </c>
      <c r="F14" s="24"/>
      <c r="G14" s="24"/>
      <c r="H14" s="2">
        <v>10000</v>
      </c>
      <c r="I14" s="23">
        <v>46152</v>
      </c>
      <c r="J14" s="19"/>
      <c r="K14" s="19" t="s">
        <v>128</v>
      </c>
      <c r="L14" s="19"/>
    </row>
    <row r="15" spans="1:12" x14ac:dyDescent="0.35">
      <c r="A15" s="19" t="s">
        <v>15</v>
      </c>
      <c r="B15" s="19"/>
      <c r="C15" s="19" t="s">
        <v>16</v>
      </c>
      <c r="D15" s="19"/>
      <c r="E15" s="24">
        <v>46284</v>
      </c>
      <c r="F15" s="24"/>
      <c r="G15" s="24"/>
      <c r="H15" s="2">
        <v>13500</v>
      </c>
      <c r="I15" s="19" t="s">
        <v>20</v>
      </c>
      <c r="J15" s="19"/>
      <c r="K15" s="19" t="s">
        <v>128</v>
      </c>
      <c r="L15" s="19"/>
    </row>
    <row r="16" spans="1:12" x14ac:dyDescent="0.35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35">
      <c r="A17" s="19" t="s">
        <v>22</v>
      </c>
      <c r="B17" s="19"/>
      <c r="C17" s="15">
        <f>SUM(H4:H15)</f>
        <v>160000</v>
      </c>
      <c r="D17" s="16"/>
      <c r="E17" s="16"/>
      <c r="F17" s="16"/>
      <c r="G17" s="16"/>
      <c r="H17" s="16"/>
      <c r="I17" s="16"/>
      <c r="J17" s="16"/>
      <c r="K17" s="16"/>
      <c r="L17" s="17"/>
    </row>
    <row r="18" spans="1:12" x14ac:dyDescent="0.35">
      <c r="A18" s="19" t="s">
        <v>56</v>
      </c>
      <c r="B18" s="19"/>
      <c r="C18" s="15">
        <f t="shared" ref="C18" si="0">$H$4</f>
        <v>12000</v>
      </c>
      <c r="D18" s="16"/>
      <c r="E18" s="16"/>
      <c r="F18" s="16"/>
      <c r="G18" s="16"/>
      <c r="H18" s="16"/>
      <c r="I18" s="16"/>
      <c r="J18" s="16"/>
      <c r="K18" s="16"/>
      <c r="L18" s="17"/>
    </row>
    <row r="19" spans="1:12" x14ac:dyDescent="0.35">
      <c r="A19" s="19" t="s">
        <v>24</v>
      </c>
      <c r="B19" s="19"/>
      <c r="C19" s="18">
        <f>SUM(H5:H15)</f>
        <v>148000</v>
      </c>
      <c r="D19" s="16"/>
      <c r="E19" s="16"/>
      <c r="F19" s="16"/>
      <c r="G19" s="16"/>
      <c r="H19" s="16"/>
      <c r="I19" s="16"/>
      <c r="J19" s="16"/>
      <c r="K19" s="16"/>
      <c r="L19" s="17"/>
    </row>
    <row r="20" spans="1:12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35">
      <c r="A21" s="13"/>
      <c r="B21" s="13"/>
      <c r="C21" s="13"/>
      <c r="D21" s="13"/>
      <c r="E21" s="13"/>
      <c r="F21" s="13"/>
      <c r="G21" s="13"/>
      <c r="I21" s="13"/>
      <c r="J21" s="13"/>
      <c r="K21" s="13"/>
      <c r="L21" s="13"/>
    </row>
    <row r="22" spans="1:12" x14ac:dyDescent="0.35">
      <c r="A22" s="13"/>
      <c r="B22" s="13"/>
      <c r="C22" s="13"/>
      <c r="D22" s="13"/>
      <c r="E22" s="13"/>
      <c r="F22" s="13"/>
      <c r="G22" s="13"/>
      <c r="I22" s="13"/>
      <c r="J22" s="13"/>
      <c r="K22" s="13"/>
      <c r="L22" s="13"/>
    </row>
    <row r="23" spans="1:12" x14ac:dyDescent="0.35">
      <c r="A23" s="13"/>
      <c r="B23" s="13"/>
      <c r="C23" s="13"/>
      <c r="D23" s="13"/>
      <c r="E23" s="13"/>
      <c r="F23" s="13"/>
      <c r="G23" s="13"/>
      <c r="I23" s="13"/>
      <c r="J23" s="13"/>
      <c r="K23" s="13"/>
      <c r="L23" s="13"/>
    </row>
    <row r="24" spans="1:12" x14ac:dyDescent="0.35">
      <c r="A24" s="13"/>
      <c r="B24" s="13"/>
      <c r="C24" s="13"/>
      <c r="D24" s="13"/>
      <c r="E24" s="13"/>
      <c r="F24" s="13"/>
      <c r="G24" s="13"/>
      <c r="I24" s="13"/>
      <c r="J24" s="13"/>
      <c r="K24" s="13"/>
      <c r="L24" s="13"/>
    </row>
    <row r="25" spans="1:12" x14ac:dyDescent="0.35">
      <c r="A25" s="13"/>
      <c r="B25" s="13"/>
      <c r="C25" s="13"/>
      <c r="D25" s="13"/>
      <c r="E25" s="13"/>
      <c r="F25" s="13"/>
      <c r="G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I26" s="13"/>
      <c r="J26" s="13"/>
      <c r="K26" s="13"/>
      <c r="L26" s="13"/>
    </row>
    <row r="27" spans="1:12" x14ac:dyDescent="0.35">
      <c r="A27" s="13"/>
      <c r="B27" s="13"/>
      <c r="C27" s="13"/>
      <c r="D27" s="13"/>
      <c r="E27" s="13"/>
      <c r="F27" s="13"/>
      <c r="G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I28" s="13"/>
      <c r="J28" s="13"/>
      <c r="K28" s="13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I30" s="13"/>
      <c r="J30" s="13"/>
      <c r="K30" s="13"/>
      <c r="L30" s="13"/>
    </row>
    <row r="31" spans="1:12" x14ac:dyDescent="0.35">
      <c r="A31" s="13"/>
      <c r="B31" s="13"/>
      <c r="C31" s="13"/>
      <c r="D31" s="13"/>
      <c r="E31" s="13"/>
      <c r="F31" s="13"/>
      <c r="G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I32" s="13"/>
      <c r="J32" s="13"/>
      <c r="K32" s="13"/>
      <c r="L32" s="13"/>
    </row>
    <row r="33" spans="1:12" x14ac:dyDescent="0.35">
      <c r="A33" s="13"/>
      <c r="B33" s="13"/>
      <c r="C33" s="13"/>
      <c r="D33" s="13"/>
      <c r="E33" s="13"/>
      <c r="F33" s="13"/>
      <c r="G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I38" s="13"/>
      <c r="J38" s="13"/>
      <c r="K38" s="13"/>
      <c r="L38" s="13"/>
    </row>
    <row r="39" spans="1:12" x14ac:dyDescent="0.35">
      <c r="A39" s="13"/>
      <c r="B39" s="13"/>
      <c r="C39" s="13"/>
      <c r="D39" s="13"/>
      <c r="E39" s="13"/>
      <c r="F39" s="13"/>
      <c r="G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I46" s="13"/>
      <c r="J46" s="13"/>
      <c r="K46" s="13"/>
      <c r="L46" s="13"/>
    </row>
    <row r="47" spans="1:12" x14ac:dyDescent="0.35">
      <c r="A47" s="13"/>
      <c r="B47" s="13"/>
      <c r="C47" s="13"/>
      <c r="D47" s="13"/>
      <c r="E47" s="13"/>
      <c r="F47" s="13"/>
      <c r="G47" s="13"/>
      <c r="I47" s="13"/>
      <c r="J47" s="13"/>
      <c r="K47" s="13"/>
      <c r="L47" s="13"/>
    </row>
    <row r="48" spans="1:12" x14ac:dyDescent="0.35">
      <c r="A48" s="13"/>
      <c r="B48" s="13"/>
      <c r="C48" s="13"/>
      <c r="D48" s="13"/>
      <c r="E48" s="13"/>
      <c r="F48" s="13"/>
      <c r="G48" s="13"/>
      <c r="I48" s="13"/>
      <c r="J48" s="13"/>
      <c r="K48" s="13"/>
      <c r="L48" s="13"/>
    </row>
    <row r="49" spans="1:12" x14ac:dyDescent="0.35">
      <c r="A49" s="13"/>
      <c r="B49" s="13"/>
      <c r="C49" s="13"/>
      <c r="D49" s="13"/>
      <c r="E49" s="13"/>
      <c r="F49" s="13"/>
      <c r="G49" s="13"/>
      <c r="I49" s="13"/>
      <c r="J49" s="13"/>
      <c r="K49" s="13"/>
      <c r="L49" s="13"/>
    </row>
    <row r="50" spans="1:12" x14ac:dyDescent="0.35">
      <c r="A50" s="13"/>
      <c r="B50" s="13"/>
      <c r="C50" s="13"/>
      <c r="D50" s="13"/>
      <c r="E50" s="13"/>
      <c r="F50" s="13"/>
      <c r="G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I64" s="13"/>
      <c r="J64" s="13"/>
      <c r="K64" s="13"/>
      <c r="L64" s="13"/>
    </row>
    <row r="65" spans="1:12" x14ac:dyDescent="0.35">
      <c r="A65" s="13"/>
      <c r="B65" s="13"/>
      <c r="C65" s="13"/>
      <c r="D65" s="13"/>
      <c r="E65" s="13"/>
      <c r="F65" s="13"/>
      <c r="G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I66" s="13"/>
      <c r="J66" s="13"/>
      <c r="K66" s="13"/>
      <c r="L66" s="13"/>
    </row>
    <row r="67" spans="1:12" x14ac:dyDescent="0.35">
      <c r="A67" s="13"/>
      <c r="B67" s="13"/>
      <c r="C67" s="13"/>
      <c r="D67" s="13"/>
      <c r="E67" s="13"/>
      <c r="F67" s="13"/>
      <c r="G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I68" s="13"/>
      <c r="J68" s="13"/>
      <c r="K68" s="13"/>
      <c r="L68" s="13"/>
    </row>
    <row r="69" spans="1:12" x14ac:dyDescent="0.35">
      <c r="A69" s="13"/>
      <c r="B69" s="13"/>
      <c r="C69" s="13"/>
      <c r="D69" s="13"/>
      <c r="E69" s="13"/>
      <c r="F69" s="13"/>
      <c r="G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I72" s="13"/>
      <c r="J72" s="13"/>
      <c r="K72" s="13"/>
      <c r="L72" s="13"/>
    </row>
    <row r="73" spans="1:12" x14ac:dyDescent="0.35">
      <c r="A73" s="13"/>
      <c r="B73" s="13"/>
      <c r="C73" s="13"/>
      <c r="D73" s="13"/>
      <c r="E73" s="13"/>
      <c r="F73" s="13"/>
      <c r="G73" s="13"/>
      <c r="I73" s="13"/>
      <c r="J73" s="13"/>
      <c r="K73" s="13"/>
      <c r="L73" s="13"/>
    </row>
    <row r="74" spans="1:12" x14ac:dyDescent="0.35">
      <c r="A74" s="13"/>
      <c r="B74" s="13"/>
      <c r="C74" s="13"/>
      <c r="D74" s="13"/>
      <c r="E74" s="13"/>
      <c r="F74" s="13"/>
      <c r="G74" s="13"/>
      <c r="I74" s="13"/>
      <c r="J74" s="13"/>
      <c r="K74" s="13"/>
      <c r="L74" s="13"/>
    </row>
  </sheetData>
  <mergeCells count="345">
    <mergeCell ref="A1:J1"/>
    <mergeCell ref="A2:J2"/>
    <mergeCell ref="C3:D3"/>
    <mergeCell ref="E3:G3"/>
    <mergeCell ref="C4:D4"/>
    <mergeCell ref="C5:D5"/>
    <mergeCell ref="I3:J3"/>
    <mergeCell ref="I4:J4"/>
    <mergeCell ref="I5:J5"/>
    <mergeCell ref="E4:G4"/>
    <mergeCell ref="E5:G5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1:D11"/>
    <mergeCell ref="C24:D24"/>
    <mergeCell ref="C25:D25"/>
    <mergeCell ref="C26:D26"/>
    <mergeCell ref="C27:D27"/>
    <mergeCell ref="C28:D28"/>
    <mergeCell ref="C29:D29"/>
    <mergeCell ref="C21:D21"/>
    <mergeCell ref="C22:D22"/>
    <mergeCell ref="C23:D23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58:D58"/>
    <mergeCell ref="C59:D59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E30:G30"/>
    <mergeCell ref="E31:G31"/>
    <mergeCell ref="E32:G32"/>
    <mergeCell ref="E27:G27"/>
    <mergeCell ref="E28:G28"/>
    <mergeCell ref="C72:D72"/>
    <mergeCell ref="C73:D73"/>
    <mergeCell ref="C74:D74"/>
    <mergeCell ref="C66:D66"/>
    <mergeCell ref="C67:D67"/>
    <mergeCell ref="C68:D68"/>
    <mergeCell ref="C69:D69"/>
    <mergeCell ref="C70:D70"/>
    <mergeCell ref="C71:D71"/>
    <mergeCell ref="C60:D60"/>
    <mergeCell ref="C61:D61"/>
    <mergeCell ref="C62:D62"/>
    <mergeCell ref="C63:D63"/>
    <mergeCell ref="C64:D64"/>
    <mergeCell ref="C65:D65"/>
    <mergeCell ref="C54:D54"/>
    <mergeCell ref="C55:D55"/>
    <mergeCell ref="C56:D56"/>
    <mergeCell ref="C57:D57"/>
    <mergeCell ref="E6:G6"/>
    <mergeCell ref="E7:G7"/>
    <mergeCell ref="E8:G8"/>
    <mergeCell ref="E9:G9"/>
    <mergeCell ref="E65:G65"/>
    <mergeCell ref="E66:G66"/>
    <mergeCell ref="E67:G67"/>
    <mergeCell ref="E63:G63"/>
    <mergeCell ref="E64:G64"/>
    <mergeCell ref="E53:G53"/>
    <mergeCell ref="E54:G54"/>
    <mergeCell ref="E55:G55"/>
    <mergeCell ref="E56:G56"/>
    <mergeCell ref="E51:G51"/>
    <mergeCell ref="E52:G52"/>
    <mergeCell ref="E41:G41"/>
    <mergeCell ref="E42:G42"/>
    <mergeCell ref="E43:G43"/>
    <mergeCell ref="E44:G44"/>
    <mergeCell ref="E39:G39"/>
    <mergeCell ref="E40:G40"/>
    <mergeCell ref="E29:G29"/>
    <mergeCell ref="E21:G21"/>
    <mergeCell ref="E22:G22"/>
    <mergeCell ref="E23:G23"/>
    <mergeCell ref="E24:G24"/>
    <mergeCell ref="E25:G25"/>
    <mergeCell ref="E26:G26"/>
    <mergeCell ref="E10:G10"/>
    <mergeCell ref="E11:G11"/>
    <mergeCell ref="E12:G12"/>
    <mergeCell ref="E13:G13"/>
    <mergeCell ref="E14:G14"/>
    <mergeCell ref="E15:G15"/>
    <mergeCell ref="E45:G45"/>
    <mergeCell ref="E46:G46"/>
    <mergeCell ref="E47:G47"/>
    <mergeCell ref="E48:G48"/>
    <mergeCell ref="E49:G49"/>
    <mergeCell ref="E50:G50"/>
    <mergeCell ref="E33:G33"/>
    <mergeCell ref="E34:G34"/>
    <mergeCell ref="E35:G35"/>
    <mergeCell ref="E36:G36"/>
    <mergeCell ref="E37:G37"/>
    <mergeCell ref="E38:G38"/>
    <mergeCell ref="E69:G69"/>
    <mergeCell ref="E70:G70"/>
    <mergeCell ref="E71:G71"/>
    <mergeCell ref="E72:G72"/>
    <mergeCell ref="E73:G73"/>
    <mergeCell ref="E74:G74"/>
    <mergeCell ref="E57:G57"/>
    <mergeCell ref="E58:G58"/>
    <mergeCell ref="E59:G59"/>
    <mergeCell ref="E60:G60"/>
    <mergeCell ref="E61:G61"/>
    <mergeCell ref="E62:G62"/>
    <mergeCell ref="E68:G68"/>
    <mergeCell ref="I12:J12"/>
    <mergeCell ref="I13:J13"/>
    <mergeCell ref="I14:J14"/>
    <mergeCell ref="I15:J15"/>
    <mergeCell ref="I6:J6"/>
    <mergeCell ref="I7:J7"/>
    <mergeCell ref="I8:J8"/>
    <mergeCell ref="I9:J9"/>
    <mergeCell ref="I10:J10"/>
    <mergeCell ref="I11:J11"/>
    <mergeCell ref="I24:J24"/>
    <mergeCell ref="I25:J25"/>
    <mergeCell ref="I26:J26"/>
    <mergeCell ref="I27:J27"/>
    <mergeCell ref="I28:J28"/>
    <mergeCell ref="I29:J29"/>
    <mergeCell ref="I21:J21"/>
    <mergeCell ref="I22:J22"/>
    <mergeCell ref="I23:J23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74:J74"/>
    <mergeCell ref="K3:L3"/>
    <mergeCell ref="K4:L4"/>
    <mergeCell ref="K5:L5"/>
    <mergeCell ref="K6:L6"/>
    <mergeCell ref="K7:L7"/>
    <mergeCell ref="K8:L8"/>
    <mergeCell ref="K9:L9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K21:L21"/>
    <mergeCell ref="K10:L10"/>
    <mergeCell ref="K11:L11"/>
    <mergeCell ref="K12:L12"/>
    <mergeCell ref="K13:L13"/>
    <mergeCell ref="K14:L14"/>
    <mergeCell ref="K15:L15"/>
    <mergeCell ref="I72:J72"/>
    <mergeCell ref="I73:J73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K28:L28"/>
    <mergeCell ref="K29:L29"/>
    <mergeCell ref="K30:L30"/>
    <mergeCell ref="K31:L31"/>
    <mergeCell ref="K32:L32"/>
    <mergeCell ref="K33:L33"/>
    <mergeCell ref="K22:L22"/>
    <mergeCell ref="K23:L23"/>
    <mergeCell ref="K24:L24"/>
    <mergeCell ref="K25:L25"/>
    <mergeCell ref="K26:L26"/>
    <mergeCell ref="K27:L27"/>
    <mergeCell ref="K40:L40"/>
    <mergeCell ref="K41:L41"/>
    <mergeCell ref="K42:L42"/>
    <mergeCell ref="K43:L43"/>
    <mergeCell ref="K44:L44"/>
    <mergeCell ref="K45:L45"/>
    <mergeCell ref="K34:L34"/>
    <mergeCell ref="K35:L35"/>
    <mergeCell ref="K36:L36"/>
    <mergeCell ref="K37:L37"/>
    <mergeCell ref="K38:L38"/>
    <mergeCell ref="K39:L39"/>
    <mergeCell ref="K54:L54"/>
    <mergeCell ref="K55:L55"/>
    <mergeCell ref="K56:L56"/>
    <mergeCell ref="K57:L57"/>
    <mergeCell ref="K46:L46"/>
    <mergeCell ref="K47:L47"/>
    <mergeCell ref="K48:L48"/>
    <mergeCell ref="K49:L49"/>
    <mergeCell ref="K50:L50"/>
    <mergeCell ref="K51:L51"/>
    <mergeCell ref="K70:L70"/>
    <mergeCell ref="K71:L71"/>
    <mergeCell ref="K72:L72"/>
    <mergeCell ref="K73:L73"/>
    <mergeCell ref="K74:L74"/>
    <mergeCell ref="A3:B3"/>
    <mergeCell ref="A4:B4"/>
    <mergeCell ref="A5:B5"/>
    <mergeCell ref="A6:B6"/>
    <mergeCell ref="A7:B7"/>
    <mergeCell ref="K64:L64"/>
    <mergeCell ref="K65:L65"/>
    <mergeCell ref="K66:L66"/>
    <mergeCell ref="K67:L67"/>
    <mergeCell ref="K68:L68"/>
    <mergeCell ref="K69:L69"/>
    <mergeCell ref="K58:L58"/>
    <mergeCell ref="K59:L59"/>
    <mergeCell ref="K60:L60"/>
    <mergeCell ref="K61:L61"/>
    <mergeCell ref="K62:L62"/>
    <mergeCell ref="K63:L63"/>
    <mergeCell ref="K52:L52"/>
    <mergeCell ref="K53:L53"/>
    <mergeCell ref="A14:B14"/>
    <mergeCell ref="A15:B15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74:B74"/>
    <mergeCell ref="A16:L16"/>
    <mergeCell ref="C17:L17"/>
    <mergeCell ref="C18:L18"/>
    <mergeCell ref="A20:L20"/>
    <mergeCell ref="C19:L1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</mergeCells>
  <phoneticPr fontId="5" type="noConversion"/>
  <pageMargins left="0.7" right="0.7" top="0.75" bottom="0.75" header="0.3" footer="0.3"/>
  <pageSetup paperSize="9" orientation="portrait" verticalDpi="0" r:id="rId1"/>
  <ignoredErrors>
    <ignoredError sqref="C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460C-FC6A-48E6-B5CE-1A68CA9A2043}">
  <dimension ref="A1:L72"/>
  <sheetViews>
    <sheetView zoomScaleNormal="100" workbookViewId="0">
      <selection activeCell="M13" sqref="M13"/>
    </sheetView>
  </sheetViews>
  <sheetFormatPr defaultRowHeight="14.5" x14ac:dyDescent="0.35"/>
  <cols>
    <col min="8" max="8" width="11.453125" bestFit="1" customWidth="1"/>
  </cols>
  <sheetData>
    <row r="1" spans="1:12" ht="17.5" thickBot="1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thickTop="1" thickBot="1" x14ac:dyDescent="0.4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" thickTop="1" x14ac:dyDescent="0.35">
      <c r="A3" s="20" t="s">
        <v>25</v>
      </c>
      <c r="B3" s="21"/>
      <c r="C3" s="22" t="s">
        <v>26</v>
      </c>
      <c r="D3" s="22"/>
      <c r="E3" s="22" t="s">
        <v>27</v>
      </c>
      <c r="F3" s="22"/>
      <c r="G3" s="22"/>
      <c r="H3" s="1" t="s">
        <v>17</v>
      </c>
      <c r="I3" s="22" t="s">
        <v>28</v>
      </c>
      <c r="J3" s="22"/>
      <c r="K3" s="22" t="s">
        <v>6</v>
      </c>
      <c r="L3" s="22"/>
    </row>
    <row r="4" spans="1:12" x14ac:dyDescent="0.35">
      <c r="A4" s="19" t="s">
        <v>41</v>
      </c>
      <c r="B4" s="19"/>
      <c r="C4" s="19" t="s">
        <v>29</v>
      </c>
      <c r="D4" s="19"/>
      <c r="E4" s="28">
        <v>46062</v>
      </c>
      <c r="F4" s="29"/>
      <c r="G4" s="30"/>
      <c r="H4" s="3">
        <v>8000</v>
      </c>
      <c r="I4" s="24">
        <v>46283</v>
      </c>
      <c r="J4" s="24"/>
      <c r="K4" s="19" t="s">
        <v>54</v>
      </c>
      <c r="L4" s="19"/>
    </row>
    <row r="5" spans="1:12" x14ac:dyDescent="0.35">
      <c r="A5" s="19" t="s">
        <v>42</v>
      </c>
      <c r="B5" s="19"/>
      <c r="C5" s="19" t="s">
        <v>30</v>
      </c>
      <c r="D5" s="19"/>
      <c r="E5" s="28">
        <v>46121</v>
      </c>
      <c r="F5" s="29"/>
      <c r="G5" s="30"/>
      <c r="H5" s="2">
        <v>6500</v>
      </c>
      <c r="I5" s="24" t="s">
        <v>50</v>
      </c>
      <c r="J5" s="24"/>
      <c r="K5" s="19" t="s">
        <v>54</v>
      </c>
      <c r="L5" s="19"/>
    </row>
    <row r="6" spans="1:12" x14ac:dyDescent="0.35">
      <c r="A6" s="19" t="s">
        <v>43</v>
      </c>
      <c r="B6" s="19"/>
      <c r="C6" s="19" t="s">
        <v>31</v>
      </c>
      <c r="D6" s="19"/>
      <c r="E6" s="28">
        <v>46212</v>
      </c>
      <c r="F6" s="29"/>
      <c r="G6" s="30"/>
      <c r="H6" s="2">
        <v>12000</v>
      </c>
      <c r="I6" s="24" t="s">
        <v>51</v>
      </c>
      <c r="J6" s="24"/>
      <c r="K6" s="19" t="s">
        <v>54</v>
      </c>
      <c r="L6" s="19"/>
    </row>
    <row r="7" spans="1:12" x14ac:dyDescent="0.35">
      <c r="A7" s="19" t="s">
        <v>44</v>
      </c>
      <c r="B7" s="19"/>
      <c r="C7" s="19" t="s">
        <v>32</v>
      </c>
      <c r="D7" s="19"/>
      <c r="E7" s="28">
        <v>46304</v>
      </c>
      <c r="F7" s="29"/>
      <c r="G7" s="30"/>
      <c r="H7" s="2">
        <v>4000</v>
      </c>
      <c r="I7" s="24">
        <v>46300</v>
      </c>
      <c r="J7" s="24"/>
      <c r="K7" s="19" t="s">
        <v>54</v>
      </c>
      <c r="L7" s="19"/>
    </row>
    <row r="8" spans="1:12" x14ac:dyDescent="0.35">
      <c r="A8" s="19" t="s">
        <v>45</v>
      </c>
      <c r="B8" s="19"/>
      <c r="C8" s="19" t="s">
        <v>33</v>
      </c>
      <c r="D8" s="19"/>
      <c r="E8" s="28">
        <v>46335</v>
      </c>
      <c r="F8" s="29"/>
      <c r="G8" s="30"/>
      <c r="H8" s="2">
        <v>5500</v>
      </c>
      <c r="I8" s="24">
        <v>46290</v>
      </c>
      <c r="J8" s="24"/>
      <c r="K8" s="19" t="s">
        <v>54</v>
      </c>
      <c r="L8" s="19"/>
    </row>
    <row r="9" spans="1:12" x14ac:dyDescent="0.35">
      <c r="A9" s="19" t="s">
        <v>46</v>
      </c>
      <c r="B9" s="19"/>
      <c r="C9" s="19" t="s">
        <v>34</v>
      </c>
      <c r="D9" s="19"/>
      <c r="E9" s="28">
        <v>46365</v>
      </c>
      <c r="F9" s="29"/>
      <c r="G9" s="30"/>
      <c r="H9" s="2">
        <v>3500</v>
      </c>
      <c r="I9" s="24">
        <v>46293</v>
      </c>
      <c r="J9" s="24"/>
      <c r="K9" s="19" t="s">
        <v>54</v>
      </c>
      <c r="L9" s="19"/>
    </row>
    <row r="10" spans="1:12" x14ac:dyDescent="0.35">
      <c r="A10" s="19" t="s">
        <v>47</v>
      </c>
      <c r="B10" s="19"/>
      <c r="C10" s="19" t="s">
        <v>35</v>
      </c>
      <c r="D10" s="19"/>
      <c r="E10" s="28">
        <v>46279</v>
      </c>
      <c r="F10" s="29"/>
      <c r="G10" s="30"/>
      <c r="H10" s="2">
        <v>7000</v>
      </c>
      <c r="I10" s="24">
        <v>46297</v>
      </c>
      <c r="J10" s="24"/>
      <c r="K10" s="19" t="s">
        <v>54</v>
      </c>
      <c r="L10" s="19"/>
    </row>
    <row r="11" spans="1:12" x14ac:dyDescent="0.35">
      <c r="A11" s="19" t="s">
        <v>48</v>
      </c>
      <c r="B11" s="19"/>
      <c r="C11" s="19" t="s">
        <v>36</v>
      </c>
      <c r="D11" s="19"/>
      <c r="E11" s="28">
        <v>46280</v>
      </c>
      <c r="F11" s="29"/>
      <c r="G11" s="30"/>
      <c r="H11" s="2">
        <v>2800</v>
      </c>
      <c r="I11" s="23" t="s">
        <v>51</v>
      </c>
      <c r="J11" s="19"/>
      <c r="K11" s="19" t="s">
        <v>54</v>
      </c>
      <c r="L11" s="19"/>
    </row>
    <row r="12" spans="1:12" ht="13.5" customHeight="1" x14ac:dyDescent="0.35">
      <c r="A12" s="19" t="s">
        <v>49</v>
      </c>
      <c r="B12" s="19"/>
      <c r="C12" s="19" t="s">
        <v>37</v>
      </c>
      <c r="D12" s="19"/>
      <c r="E12" s="28">
        <v>46281</v>
      </c>
      <c r="F12" s="29"/>
      <c r="G12" s="30"/>
      <c r="H12" s="2">
        <v>9000</v>
      </c>
      <c r="I12" s="23">
        <v>46305</v>
      </c>
      <c r="J12" s="19"/>
      <c r="K12" s="19" t="s">
        <v>54</v>
      </c>
      <c r="L12" s="19"/>
    </row>
    <row r="13" spans="1:12" x14ac:dyDescent="0.35">
      <c r="A13" s="19" t="s">
        <v>42</v>
      </c>
      <c r="B13" s="19"/>
      <c r="C13" s="19" t="s">
        <v>38</v>
      </c>
      <c r="D13" s="19"/>
      <c r="E13" s="28">
        <v>46282</v>
      </c>
      <c r="F13" s="29"/>
      <c r="G13" s="30"/>
      <c r="H13" s="2">
        <v>6000</v>
      </c>
      <c r="I13" s="19" t="s">
        <v>52</v>
      </c>
      <c r="J13" s="19"/>
      <c r="K13" s="19" t="s">
        <v>54</v>
      </c>
      <c r="L13" s="19"/>
    </row>
    <row r="14" spans="1:12" x14ac:dyDescent="0.35">
      <c r="A14" s="19" t="s">
        <v>44</v>
      </c>
      <c r="B14" s="19"/>
      <c r="C14" s="19" t="s">
        <v>39</v>
      </c>
      <c r="D14" s="19"/>
      <c r="E14" s="28">
        <v>46283</v>
      </c>
      <c r="F14" s="29"/>
      <c r="G14" s="30"/>
      <c r="H14" s="2">
        <v>3200</v>
      </c>
      <c r="I14" s="23">
        <v>46152</v>
      </c>
      <c r="J14" s="19"/>
      <c r="K14" s="19" t="s">
        <v>54</v>
      </c>
      <c r="L14" s="19"/>
    </row>
    <row r="15" spans="1:12" x14ac:dyDescent="0.35">
      <c r="A15" s="27" t="str">
        <f t="shared" ref="A15" si="0">$A$4</f>
        <v xml:space="preserve">Emirates Coffee Roasters </v>
      </c>
      <c r="B15" s="17"/>
      <c r="C15" s="19" t="s">
        <v>40</v>
      </c>
      <c r="D15" s="19"/>
      <c r="E15" s="28">
        <v>46284</v>
      </c>
      <c r="F15" s="29"/>
      <c r="G15" s="30"/>
      <c r="H15" s="2">
        <v>7500</v>
      </c>
      <c r="I15" s="19" t="s">
        <v>53</v>
      </c>
      <c r="J15" s="19"/>
      <c r="K15" s="19" t="s">
        <v>54</v>
      </c>
      <c r="L15" s="19"/>
    </row>
    <row r="16" spans="1:12" x14ac:dyDescent="0.35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35">
      <c r="A17" s="19" t="s">
        <v>55</v>
      </c>
      <c r="B17" s="19"/>
      <c r="C17" s="15">
        <f>SUM(H4:H15)</f>
        <v>75000</v>
      </c>
      <c r="D17" s="16"/>
      <c r="E17" s="16"/>
      <c r="F17" s="16"/>
      <c r="G17" s="16"/>
      <c r="H17" s="16"/>
      <c r="I17" s="16"/>
      <c r="J17" s="16"/>
      <c r="K17" s="16"/>
      <c r="L17" s="17"/>
    </row>
    <row r="18" spans="1:12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35">
      <c r="A19" s="13"/>
      <c r="B19" s="13"/>
      <c r="C19" s="13"/>
      <c r="D19" s="13"/>
      <c r="E19" s="13"/>
      <c r="F19" s="13"/>
      <c r="G19" s="13"/>
      <c r="I19" s="13"/>
      <c r="J19" s="13"/>
      <c r="K19" s="13"/>
      <c r="L19" s="13"/>
    </row>
    <row r="20" spans="1:12" x14ac:dyDescent="0.35">
      <c r="A20" s="13"/>
      <c r="B20" s="13"/>
      <c r="C20" s="13"/>
      <c r="D20" s="13"/>
      <c r="E20" s="13"/>
      <c r="F20" s="13"/>
      <c r="G20" s="13"/>
      <c r="I20" s="13"/>
      <c r="J20" s="13"/>
      <c r="K20" s="13"/>
      <c r="L20" s="13"/>
    </row>
    <row r="21" spans="1:12" x14ac:dyDescent="0.35">
      <c r="A21" s="13"/>
      <c r="B21" s="13"/>
      <c r="C21" s="13"/>
      <c r="D21" s="13"/>
      <c r="E21" s="13"/>
      <c r="F21" s="13"/>
      <c r="G21" s="13"/>
      <c r="I21" s="13"/>
      <c r="J21" s="13"/>
      <c r="K21" s="13"/>
      <c r="L21" s="13"/>
    </row>
    <row r="22" spans="1:12" x14ac:dyDescent="0.35">
      <c r="A22" s="13"/>
      <c r="B22" s="13"/>
      <c r="C22" s="13"/>
      <c r="D22" s="13"/>
      <c r="E22" s="13"/>
      <c r="F22" s="13"/>
      <c r="G22" s="13"/>
      <c r="I22" s="13"/>
      <c r="J22" s="13"/>
      <c r="K22" s="13"/>
      <c r="L22" s="13"/>
    </row>
    <row r="23" spans="1:12" x14ac:dyDescent="0.35">
      <c r="A23" s="13"/>
      <c r="B23" s="13"/>
      <c r="C23" s="13"/>
      <c r="D23" s="13"/>
      <c r="E23" s="13"/>
      <c r="F23" s="13"/>
      <c r="G23" s="13"/>
      <c r="I23" s="13"/>
      <c r="J23" s="13"/>
      <c r="K23" s="13"/>
      <c r="L23" s="13"/>
    </row>
    <row r="24" spans="1:12" x14ac:dyDescent="0.35">
      <c r="A24" s="13"/>
      <c r="B24" s="13"/>
      <c r="C24" s="13"/>
      <c r="D24" s="13"/>
      <c r="E24" s="13"/>
      <c r="F24" s="13"/>
      <c r="G24" s="13"/>
      <c r="I24" s="13"/>
      <c r="J24" s="13"/>
      <c r="K24" s="13"/>
      <c r="L24" s="13"/>
    </row>
    <row r="25" spans="1:12" x14ac:dyDescent="0.35">
      <c r="A25" s="13"/>
      <c r="B25" s="13"/>
      <c r="C25" s="13"/>
      <c r="D25" s="13"/>
      <c r="E25" s="13"/>
      <c r="F25" s="13"/>
      <c r="G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I26" s="13"/>
      <c r="J26" s="13"/>
      <c r="K26" s="13"/>
      <c r="L26" s="13"/>
    </row>
    <row r="27" spans="1:12" x14ac:dyDescent="0.35">
      <c r="A27" s="13"/>
      <c r="B27" s="13"/>
      <c r="C27" s="13"/>
      <c r="D27" s="13"/>
      <c r="E27" s="13"/>
      <c r="F27" s="13"/>
      <c r="G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I28" s="13"/>
      <c r="J28" s="13"/>
      <c r="K28" s="13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I30" s="13"/>
      <c r="J30" s="13"/>
      <c r="K30" s="13"/>
      <c r="L30" s="13"/>
    </row>
    <row r="31" spans="1:12" x14ac:dyDescent="0.35">
      <c r="A31" s="13"/>
      <c r="B31" s="13"/>
      <c r="C31" s="13"/>
      <c r="D31" s="13"/>
      <c r="E31" s="13"/>
      <c r="F31" s="13"/>
      <c r="G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I32" s="13"/>
      <c r="J32" s="13"/>
      <c r="K32" s="13"/>
      <c r="L32" s="13"/>
    </row>
    <row r="33" spans="1:12" x14ac:dyDescent="0.35">
      <c r="A33" s="13"/>
      <c r="B33" s="13"/>
      <c r="C33" s="13"/>
      <c r="D33" s="13"/>
      <c r="E33" s="13"/>
      <c r="F33" s="13"/>
      <c r="G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I38" s="13"/>
      <c r="J38" s="13"/>
      <c r="K38" s="13"/>
      <c r="L38" s="13"/>
    </row>
    <row r="39" spans="1:12" x14ac:dyDescent="0.35">
      <c r="A39" s="13"/>
      <c r="B39" s="13"/>
      <c r="C39" s="13"/>
      <c r="D39" s="13"/>
      <c r="E39" s="13"/>
      <c r="F39" s="13"/>
      <c r="G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I46" s="13"/>
      <c r="J46" s="13"/>
      <c r="K46" s="13"/>
      <c r="L46" s="13"/>
    </row>
    <row r="47" spans="1:12" x14ac:dyDescent="0.35">
      <c r="A47" s="13"/>
      <c r="B47" s="13"/>
      <c r="C47" s="13"/>
      <c r="D47" s="13"/>
      <c r="E47" s="13"/>
      <c r="F47" s="13"/>
      <c r="G47" s="13"/>
      <c r="I47" s="13"/>
      <c r="J47" s="13"/>
      <c r="K47" s="13"/>
      <c r="L47" s="13"/>
    </row>
    <row r="48" spans="1:12" x14ac:dyDescent="0.35">
      <c r="A48" s="13"/>
      <c r="B48" s="13"/>
      <c r="C48" s="13"/>
      <c r="D48" s="13"/>
      <c r="E48" s="13"/>
      <c r="F48" s="13"/>
      <c r="G48" s="13"/>
      <c r="I48" s="13"/>
      <c r="J48" s="13"/>
      <c r="K48" s="13"/>
      <c r="L48" s="13"/>
    </row>
    <row r="49" spans="1:12" x14ac:dyDescent="0.35">
      <c r="A49" s="13"/>
      <c r="B49" s="13"/>
      <c r="C49" s="13"/>
      <c r="D49" s="13"/>
      <c r="E49" s="13"/>
      <c r="F49" s="13"/>
      <c r="G49" s="13"/>
      <c r="I49" s="13"/>
      <c r="J49" s="13"/>
      <c r="K49" s="13"/>
      <c r="L49" s="13"/>
    </row>
    <row r="50" spans="1:12" x14ac:dyDescent="0.35">
      <c r="A50" s="13"/>
      <c r="B50" s="13"/>
      <c r="C50" s="13"/>
      <c r="D50" s="13"/>
      <c r="E50" s="13"/>
      <c r="F50" s="13"/>
      <c r="G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I64" s="13"/>
      <c r="J64" s="13"/>
      <c r="K64" s="13"/>
      <c r="L64" s="13"/>
    </row>
    <row r="65" spans="1:12" x14ac:dyDescent="0.35">
      <c r="A65" s="13"/>
      <c r="B65" s="13"/>
      <c r="C65" s="13"/>
      <c r="D65" s="13"/>
      <c r="E65" s="13"/>
      <c r="F65" s="13"/>
      <c r="G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I66" s="13"/>
      <c r="J66" s="13"/>
      <c r="K66" s="13"/>
      <c r="L66" s="13"/>
    </row>
    <row r="67" spans="1:12" x14ac:dyDescent="0.35">
      <c r="A67" s="13"/>
      <c r="B67" s="13"/>
      <c r="C67" s="13"/>
      <c r="D67" s="13"/>
      <c r="E67" s="13"/>
      <c r="F67" s="13"/>
      <c r="G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I68" s="13"/>
      <c r="J68" s="13"/>
      <c r="K68" s="13"/>
      <c r="L68" s="13"/>
    </row>
    <row r="69" spans="1:12" x14ac:dyDescent="0.35">
      <c r="A69" s="13"/>
      <c r="B69" s="13"/>
      <c r="C69" s="13"/>
      <c r="D69" s="13"/>
      <c r="E69" s="13"/>
      <c r="F69" s="13"/>
      <c r="G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I72" s="13"/>
      <c r="J72" s="13"/>
      <c r="K72" s="13"/>
      <c r="L72" s="13"/>
    </row>
  </sheetData>
  <mergeCells count="341">
    <mergeCell ref="K3:L3"/>
    <mergeCell ref="A4:B4"/>
    <mergeCell ref="C4:D4"/>
    <mergeCell ref="E4:G4"/>
    <mergeCell ref="I4:J4"/>
    <mergeCell ref="K4:L4"/>
    <mergeCell ref="A3:B3"/>
    <mergeCell ref="C3:D3"/>
    <mergeCell ref="E3:G3"/>
    <mergeCell ref="I3:J3"/>
    <mergeCell ref="A5:B5"/>
    <mergeCell ref="C5:D5"/>
    <mergeCell ref="E5:G5"/>
    <mergeCell ref="I5:J5"/>
    <mergeCell ref="K5:L5"/>
    <mergeCell ref="A6:B6"/>
    <mergeCell ref="C6:D6"/>
    <mergeCell ref="E6:G6"/>
    <mergeCell ref="I6:J6"/>
    <mergeCell ref="K6:L6"/>
    <mergeCell ref="A7:B7"/>
    <mergeCell ref="C7:D7"/>
    <mergeCell ref="E7:G7"/>
    <mergeCell ref="I7:J7"/>
    <mergeCell ref="K7:L7"/>
    <mergeCell ref="A8:B8"/>
    <mergeCell ref="C8:D8"/>
    <mergeCell ref="E8:G8"/>
    <mergeCell ref="I8:J8"/>
    <mergeCell ref="K8:L8"/>
    <mergeCell ref="A9:B9"/>
    <mergeCell ref="C9:D9"/>
    <mergeCell ref="E9:G9"/>
    <mergeCell ref="I9:J9"/>
    <mergeCell ref="K9:L9"/>
    <mergeCell ref="A10:B10"/>
    <mergeCell ref="C10:D10"/>
    <mergeCell ref="E10:G10"/>
    <mergeCell ref="I10:J10"/>
    <mergeCell ref="K10:L10"/>
    <mergeCell ref="A11:B11"/>
    <mergeCell ref="C11:D11"/>
    <mergeCell ref="E11:G11"/>
    <mergeCell ref="I11:J11"/>
    <mergeCell ref="K11:L11"/>
    <mergeCell ref="A12:B12"/>
    <mergeCell ref="C12:D12"/>
    <mergeCell ref="E12:G12"/>
    <mergeCell ref="I12:J12"/>
    <mergeCell ref="K12:L12"/>
    <mergeCell ref="A15:B15"/>
    <mergeCell ref="C15:D15"/>
    <mergeCell ref="E15:G15"/>
    <mergeCell ref="I15:J15"/>
    <mergeCell ref="K15:L15"/>
    <mergeCell ref="A16:L16"/>
    <mergeCell ref="A13:B13"/>
    <mergeCell ref="C13:D13"/>
    <mergeCell ref="E13:G13"/>
    <mergeCell ref="I13:J13"/>
    <mergeCell ref="K13:L13"/>
    <mergeCell ref="A14:B14"/>
    <mergeCell ref="C14:D14"/>
    <mergeCell ref="E14:G14"/>
    <mergeCell ref="I14:J14"/>
    <mergeCell ref="K14:L14"/>
    <mergeCell ref="A18:L18"/>
    <mergeCell ref="A19:B19"/>
    <mergeCell ref="C19:D19"/>
    <mergeCell ref="E19:G19"/>
    <mergeCell ref="I19:J19"/>
    <mergeCell ref="K19:L19"/>
    <mergeCell ref="A17:B17"/>
    <mergeCell ref="C17:L17"/>
    <mergeCell ref="A20:B20"/>
    <mergeCell ref="C20:D20"/>
    <mergeCell ref="E20:G20"/>
    <mergeCell ref="I20:J20"/>
    <mergeCell ref="K20:L20"/>
    <mergeCell ref="A21:B21"/>
    <mergeCell ref="C21:D21"/>
    <mergeCell ref="E21:G21"/>
    <mergeCell ref="I21:J21"/>
    <mergeCell ref="K21:L21"/>
    <mergeCell ref="A22:B22"/>
    <mergeCell ref="C22:D22"/>
    <mergeCell ref="E22:G22"/>
    <mergeCell ref="I22:J22"/>
    <mergeCell ref="K22:L22"/>
    <mergeCell ref="A23:B23"/>
    <mergeCell ref="C23:D23"/>
    <mergeCell ref="E23:G23"/>
    <mergeCell ref="I23:J23"/>
    <mergeCell ref="K23:L23"/>
    <mergeCell ref="A24:B24"/>
    <mergeCell ref="C24:D24"/>
    <mergeCell ref="E24:G24"/>
    <mergeCell ref="I24:J24"/>
    <mergeCell ref="K24:L24"/>
    <mergeCell ref="A25:B25"/>
    <mergeCell ref="C25:D25"/>
    <mergeCell ref="E25:G25"/>
    <mergeCell ref="I25:J25"/>
    <mergeCell ref="K25:L25"/>
    <mergeCell ref="A26:B26"/>
    <mergeCell ref="C26:D26"/>
    <mergeCell ref="E26:G26"/>
    <mergeCell ref="I26:J26"/>
    <mergeCell ref="K26:L26"/>
    <mergeCell ref="A27:B27"/>
    <mergeCell ref="C27:D27"/>
    <mergeCell ref="E27:G27"/>
    <mergeCell ref="I27:J27"/>
    <mergeCell ref="K27:L27"/>
    <mergeCell ref="A28:B28"/>
    <mergeCell ref="C28:D28"/>
    <mergeCell ref="E28:G28"/>
    <mergeCell ref="I28:J28"/>
    <mergeCell ref="K28:L28"/>
    <mergeCell ref="A29:B29"/>
    <mergeCell ref="C29:D29"/>
    <mergeCell ref="E29:G29"/>
    <mergeCell ref="I29:J29"/>
    <mergeCell ref="K29:L29"/>
    <mergeCell ref="A30:B30"/>
    <mergeCell ref="C30:D30"/>
    <mergeCell ref="E30:G30"/>
    <mergeCell ref="I30:J30"/>
    <mergeCell ref="K30:L30"/>
    <mergeCell ref="A31:B31"/>
    <mergeCell ref="C31:D31"/>
    <mergeCell ref="E31:G31"/>
    <mergeCell ref="I31:J31"/>
    <mergeCell ref="K31:L31"/>
    <mergeCell ref="A32:B32"/>
    <mergeCell ref="C32:D32"/>
    <mergeCell ref="E32:G32"/>
    <mergeCell ref="I32:J32"/>
    <mergeCell ref="K32:L32"/>
    <mergeCell ref="A33:B33"/>
    <mergeCell ref="C33:D33"/>
    <mergeCell ref="E33:G33"/>
    <mergeCell ref="I33:J33"/>
    <mergeCell ref="K33:L33"/>
    <mergeCell ref="A34:B34"/>
    <mergeCell ref="C34:D34"/>
    <mergeCell ref="E34:G34"/>
    <mergeCell ref="I34:J34"/>
    <mergeCell ref="K34:L34"/>
    <mergeCell ref="A35:B35"/>
    <mergeCell ref="C35:D35"/>
    <mergeCell ref="E35:G35"/>
    <mergeCell ref="I35:J35"/>
    <mergeCell ref="K35:L35"/>
    <mergeCell ref="A36:B36"/>
    <mergeCell ref="C36:D36"/>
    <mergeCell ref="E36:G36"/>
    <mergeCell ref="I36:J36"/>
    <mergeCell ref="K36:L36"/>
    <mergeCell ref="A37:B37"/>
    <mergeCell ref="C37:D37"/>
    <mergeCell ref="E37:G37"/>
    <mergeCell ref="I37:J37"/>
    <mergeCell ref="K37:L37"/>
    <mergeCell ref="A38:B38"/>
    <mergeCell ref="C38:D38"/>
    <mergeCell ref="E38:G38"/>
    <mergeCell ref="I38:J38"/>
    <mergeCell ref="K38:L38"/>
    <mergeCell ref="A39:B39"/>
    <mergeCell ref="C39:D39"/>
    <mergeCell ref="E39:G39"/>
    <mergeCell ref="I39:J39"/>
    <mergeCell ref="K39:L39"/>
    <mergeCell ref="A40:B40"/>
    <mergeCell ref="C40:D40"/>
    <mergeCell ref="E40:G40"/>
    <mergeCell ref="I40:J40"/>
    <mergeCell ref="K40:L40"/>
    <mergeCell ref="A41:B41"/>
    <mergeCell ref="C41:D41"/>
    <mergeCell ref="E41:G41"/>
    <mergeCell ref="I41:J41"/>
    <mergeCell ref="K41:L41"/>
    <mergeCell ref="A42:B42"/>
    <mergeCell ref="C42:D42"/>
    <mergeCell ref="E42:G42"/>
    <mergeCell ref="I42:J42"/>
    <mergeCell ref="K42:L42"/>
    <mergeCell ref="A43:B43"/>
    <mergeCell ref="C43:D43"/>
    <mergeCell ref="E43:G43"/>
    <mergeCell ref="I43:J43"/>
    <mergeCell ref="K43:L43"/>
    <mergeCell ref="A44:B44"/>
    <mergeCell ref="C44:D44"/>
    <mergeCell ref="E44:G44"/>
    <mergeCell ref="I44:J44"/>
    <mergeCell ref="K44:L44"/>
    <mergeCell ref="A45:B45"/>
    <mergeCell ref="C45:D45"/>
    <mergeCell ref="E45:G45"/>
    <mergeCell ref="I45:J45"/>
    <mergeCell ref="K45:L45"/>
    <mergeCell ref="A46:B46"/>
    <mergeCell ref="C46:D46"/>
    <mergeCell ref="E46:G46"/>
    <mergeCell ref="I46:J46"/>
    <mergeCell ref="K46:L46"/>
    <mergeCell ref="A47:B47"/>
    <mergeCell ref="C47:D47"/>
    <mergeCell ref="E47:G47"/>
    <mergeCell ref="I47:J47"/>
    <mergeCell ref="K47:L47"/>
    <mergeCell ref="A48:B48"/>
    <mergeCell ref="C48:D48"/>
    <mergeCell ref="E48:G48"/>
    <mergeCell ref="I48:J48"/>
    <mergeCell ref="K48:L48"/>
    <mergeCell ref="A49:B49"/>
    <mergeCell ref="C49:D49"/>
    <mergeCell ref="E49:G49"/>
    <mergeCell ref="I49:J49"/>
    <mergeCell ref="K49:L49"/>
    <mergeCell ref="A50:B50"/>
    <mergeCell ref="C50:D50"/>
    <mergeCell ref="E50:G50"/>
    <mergeCell ref="I50:J50"/>
    <mergeCell ref="K50:L50"/>
    <mergeCell ref="A51:B51"/>
    <mergeCell ref="C51:D51"/>
    <mergeCell ref="E51:G51"/>
    <mergeCell ref="I51:J51"/>
    <mergeCell ref="K51:L51"/>
    <mergeCell ref="A52:B52"/>
    <mergeCell ref="C52:D52"/>
    <mergeCell ref="E52:G52"/>
    <mergeCell ref="I52:J52"/>
    <mergeCell ref="K52:L52"/>
    <mergeCell ref="A53:B53"/>
    <mergeCell ref="C53:D53"/>
    <mergeCell ref="E53:G53"/>
    <mergeCell ref="I53:J53"/>
    <mergeCell ref="K53:L53"/>
    <mergeCell ref="A54:B54"/>
    <mergeCell ref="C54:D54"/>
    <mergeCell ref="E54:G54"/>
    <mergeCell ref="I54:J54"/>
    <mergeCell ref="K54:L54"/>
    <mergeCell ref="A55:B55"/>
    <mergeCell ref="C55:D55"/>
    <mergeCell ref="E55:G55"/>
    <mergeCell ref="I55:J55"/>
    <mergeCell ref="K55:L55"/>
    <mergeCell ref="A56:B56"/>
    <mergeCell ref="C56:D56"/>
    <mergeCell ref="E56:G56"/>
    <mergeCell ref="I56:J56"/>
    <mergeCell ref="K56:L56"/>
    <mergeCell ref="A57:B57"/>
    <mergeCell ref="C57:D57"/>
    <mergeCell ref="E57:G57"/>
    <mergeCell ref="I57:J57"/>
    <mergeCell ref="K57:L57"/>
    <mergeCell ref="A58:B58"/>
    <mergeCell ref="C58:D58"/>
    <mergeCell ref="E58:G58"/>
    <mergeCell ref="I58:J58"/>
    <mergeCell ref="K58:L58"/>
    <mergeCell ref="A59:B59"/>
    <mergeCell ref="C59:D59"/>
    <mergeCell ref="E59:G59"/>
    <mergeCell ref="I59:J59"/>
    <mergeCell ref="K59:L59"/>
    <mergeCell ref="A60:B60"/>
    <mergeCell ref="C60:D60"/>
    <mergeCell ref="E60:G60"/>
    <mergeCell ref="I60:J60"/>
    <mergeCell ref="K60:L60"/>
    <mergeCell ref="A61:B61"/>
    <mergeCell ref="C61:D61"/>
    <mergeCell ref="E61:G61"/>
    <mergeCell ref="I61:J61"/>
    <mergeCell ref="K61:L61"/>
    <mergeCell ref="A62:B62"/>
    <mergeCell ref="C62:D62"/>
    <mergeCell ref="E62:G62"/>
    <mergeCell ref="I62:J62"/>
    <mergeCell ref="K62:L62"/>
    <mergeCell ref="A63:B63"/>
    <mergeCell ref="C63:D63"/>
    <mergeCell ref="E63:G63"/>
    <mergeCell ref="I63:J63"/>
    <mergeCell ref="K63:L63"/>
    <mergeCell ref="A64:B64"/>
    <mergeCell ref="C64:D64"/>
    <mergeCell ref="E64:G64"/>
    <mergeCell ref="I64:J64"/>
    <mergeCell ref="K64:L64"/>
    <mergeCell ref="A65:B65"/>
    <mergeCell ref="C65:D65"/>
    <mergeCell ref="E65:G65"/>
    <mergeCell ref="I65:J65"/>
    <mergeCell ref="K65:L65"/>
    <mergeCell ref="E69:G69"/>
    <mergeCell ref="I69:J69"/>
    <mergeCell ref="K69:L69"/>
    <mergeCell ref="A66:B66"/>
    <mergeCell ref="C66:D66"/>
    <mergeCell ref="E66:G66"/>
    <mergeCell ref="I66:J66"/>
    <mergeCell ref="K66:L66"/>
    <mergeCell ref="A67:B67"/>
    <mergeCell ref="C67:D67"/>
    <mergeCell ref="E67:G67"/>
    <mergeCell ref="I67:J67"/>
    <mergeCell ref="K67:L67"/>
    <mergeCell ref="A1:L1"/>
    <mergeCell ref="A2:L2"/>
    <mergeCell ref="A72:B72"/>
    <mergeCell ref="C72:D72"/>
    <mergeCell ref="E72:G72"/>
    <mergeCell ref="I72:J72"/>
    <mergeCell ref="K72:L72"/>
    <mergeCell ref="A70:B70"/>
    <mergeCell ref="C70:D70"/>
    <mergeCell ref="E70:G70"/>
    <mergeCell ref="I70:J70"/>
    <mergeCell ref="K70:L70"/>
    <mergeCell ref="A71:B71"/>
    <mergeCell ref="C71:D71"/>
    <mergeCell ref="E71:G71"/>
    <mergeCell ref="I71:J71"/>
    <mergeCell ref="K71:L71"/>
    <mergeCell ref="A68:B68"/>
    <mergeCell ref="C68:D68"/>
    <mergeCell ref="E68:G68"/>
    <mergeCell ref="I68:J68"/>
    <mergeCell ref="K68:L68"/>
    <mergeCell ref="A69:B69"/>
    <mergeCell ref="C69:D69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631E-EF53-4D3F-AD8B-AE1358FB2CA8}">
  <dimension ref="A1:J72"/>
  <sheetViews>
    <sheetView topLeftCell="A2" zoomScaleNormal="100" workbookViewId="0">
      <selection activeCell="C11" sqref="C11:D11"/>
    </sheetView>
  </sheetViews>
  <sheetFormatPr defaultRowHeight="14.5" x14ac:dyDescent="0.35"/>
  <cols>
    <col min="7" max="7" width="3.36328125" customWidth="1"/>
    <col min="8" max="8" width="11.453125" bestFit="1" customWidth="1"/>
  </cols>
  <sheetData>
    <row r="1" spans="1:10" ht="17.5" thickBot="1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thickTop="1" thickBot="1" x14ac:dyDescent="0.4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15" thickTop="1" x14ac:dyDescent="0.35">
      <c r="A3" s="49" t="s">
        <v>57</v>
      </c>
      <c r="B3" s="50"/>
      <c r="C3" s="49" t="s">
        <v>17</v>
      </c>
      <c r="D3" s="50"/>
      <c r="E3" s="49" t="s">
        <v>58</v>
      </c>
      <c r="F3" s="51"/>
      <c r="G3" s="50"/>
      <c r="H3" s="1" t="s">
        <v>59</v>
      </c>
      <c r="I3" s="49" t="s">
        <v>60</v>
      </c>
      <c r="J3" s="50"/>
    </row>
    <row r="4" spans="1:10" x14ac:dyDescent="0.35">
      <c r="A4" s="27" t="s">
        <v>61</v>
      </c>
      <c r="B4" s="17"/>
      <c r="C4" s="15">
        <v>15000</v>
      </c>
      <c r="D4" s="31"/>
      <c r="E4" s="28">
        <v>46031</v>
      </c>
      <c r="F4" s="29"/>
      <c r="G4" s="30"/>
      <c r="H4" s="5">
        <v>46032</v>
      </c>
      <c r="I4" s="32" t="s">
        <v>54</v>
      </c>
      <c r="J4" s="33"/>
    </row>
    <row r="5" spans="1:10" x14ac:dyDescent="0.35">
      <c r="A5" s="27" t="s">
        <v>62</v>
      </c>
      <c r="B5" s="17"/>
      <c r="C5" s="15">
        <v>20000</v>
      </c>
      <c r="D5" s="31"/>
      <c r="E5" s="28">
        <v>46031</v>
      </c>
      <c r="F5" s="29"/>
      <c r="G5" s="30"/>
      <c r="H5" s="4" t="s">
        <v>51</v>
      </c>
      <c r="I5" s="32" t="s">
        <v>54</v>
      </c>
      <c r="J5" s="33"/>
    </row>
    <row r="6" spans="1:10" x14ac:dyDescent="0.35">
      <c r="A6" s="27" t="s">
        <v>63</v>
      </c>
      <c r="B6" s="17"/>
      <c r="C6" s="15">
        <v>3000</v>
      </c>
      <c r="D6" s="31"/>
      <c r="E6" s="28">
        <v>46151</v>
      </c>
      <c r="F6" s="29"/>
      <c r="G6" s="30"/>
      <c r="H6" s="4" t="s">
        <v>73</v>
      </c>
      <c r="I6" s="32" t="s">
        <v>54</v>
      </c>
      <c r="J6" s="33"/>
    </row>
    <row r="7" spans="1:10" x14ac:dyDescent="0.35">
      <c r="A7" s="27" t="s">
        <v>64</v>
      </c>
      <c r="B7" s="17"/>
      <c r="C7" s="15">
        <v>1200</v>
      </c>
      <c r="D7" s="31"/>
      <c r="E7" s="28">
        <v>46151</v>
      </c>
      <c r="F7" s="29"/>
      <c r="G7" s="30"/>
      <c r="H7" s="4" t="s">
        <v>73</v>
      </c>
      <c r="I7" s="32" t="s">
        <v>54</v>
      </c>
      <c r="J7" s="33"/>
    </row>
    <row r="8" spans="1:10" x14ac:dyDescent="0.35">
      <c r="A8" s="27" t="s">
        <v>65</v>
      </c>
      <c r="B8" s="17"/>
      <c r="C8" s="15">
        <v>800</v>
      </c>
      <c r="D8" s="31"/>
      <c r="E8" s="28">
        <v>46182</v>
      </c>
      <c r="F8" s="29"/>
      <c r="G8" s="30"/>
      <c r="H8" s="4" t="s">
        <v>74</v>
      </c>
      <c r="I8" s="32" t="s">
        <v>54</v>
      </c>
      <c r="J8" s="33"/>
    </row>
    <row r="9" spans="1:10" x14ac:dyDescent="0.35">
      <c r="A9" s="27" t="s">
        <v>66</v>
      </c>
      <c r="B9" s="17"/>
      <c r="C9" s="15">
        <v>2500</v>
      </c>
      <c r="D9" s="31"/>
      <c r="E9" s="28">
        <v>46243</v>
      </c>
      <c r="F9" s="29"/>
      <c r="G9" s="30"/>
      <c r="H9" s="4" t="s">
        <v>74</v>
      </c>
      <c r="I9" s="32" t="s">
        <v>21</v>
      </c>
      <c r="J9" s="33"/>
    </row>
    <row r="10" spans="1:10" x14ac:dyDescent="0.35">
      <c r="A10" s="27" t="s">
        <v>67</v>
      </c>
      <c r="B10" s="17"/>
      <c r="C10" s="15">
        <v>4000</v>
      </c>
      <c r="D10" s="31"/>
      <c r="E10" s="28">
        <v>46304</v>
      </c>
      <c r="F10" s="29"/>
      <c r="G10" s="30"/>
      <c r="H10" s="4" t="s">
        <v>51</v>
      </c>
      <c r="I10" s="32" t="s">
        <v>54</v>
      </c>
      <c r="J10" s="33"/>
    </row>
    <row r="11" spans="1:10" x14ac:dyDescent="0.35">
      <c r="A11" s="27" t="s">
        <v>68</v>
      </c>
      <c r="B11" s="17"/>
      <c r="C11" s="15">
        <v>2000</v>
      </c>
      <c r="D11" s="31"/>
      <c r="E11" s="28">
        <v>46365</v>
      </c>
      <c r="F11" s="29"/>
      <c r="G11" s="30"/>
      <c r="H11" s="4" t="s">
        <v>75</v>
      </c>
      <c r="I11" s="32" t="s">
        <v>54</v>
      </c>
      <c r="J11" s="33"/>
    </row>
    <row r="12" spans="1:10" ht="13.5" customHeight="1" x14ac:dyDescent="0.35">
      <c r="A12" s="27" t="s">
        <v>69</v>
      </c>
      <c r="B12" s="17"/>
      <c r="C12" s="15">
        <v>1500</v>
      </c>
      <c r="D12" s="31"/>
      <c r="E12" s="34" t="s">
        <v>71</v>
      </c>
      <c r="F12" s="35"/>
      <c r="G12" s="36"/>
      <c r="H12" s="4" t="s">
        <v>51</v>
      </c>
      <c r="I12" s="32" t="s">
        <v>54</v>
      </c>
      <c r="J12" s="33"/>
    </row>
    <row r="13" spans="1:10" x14ac:dyDescent="0.35">
      <c r="A13" s="27" t="s">
        <v>70</v>
      </c>
      <c r="B13" s="17"/>
      <c r="C13" s="15">
        <v>1000</v>
      </c>
      <c r="D13" s="31"/>
      <c r="E13" s="34" t="s">
        <v>72</v>
      </c>
      <c r="F13" s="35"/>
      <c r="G13" s="36"/>
      <c r="H13" s="4" t="s">
        <v>51</v>
      </c>
      <c r="I13" s="32" t="s">
        <v>54</v>
      </c>
      <c r="J13" s="33"/>
    </row>
    <row r="14" spans="1:10" x14ac:dyDescent="0.35">
      <c r="A14" s="19"/>
      <c r="B14" s="19"/>
      <c r="C14" s="37"/>
      <c r="D14" s="19"/>
      <c r="E14" s="38"/>
      <c r="F14" s="39"/>
      <c r="G14" s="40"/>
      <c r="H14" s="2"/>
      <c r="I14" s="28"/>
      <c r="J14" s="30"/>
    </row>
    <row r="15" spans="1:10" x14ac:dyDescent="0.35">
      <c r="A15" s="41" t="s">
        <v>76</v>
      </c>
      <c r="B15" s="42"/>
      <c r="C15" s="43">
        <f>SUM(C4:D13)</f>
        <v>51000</v>
      </c>
      <c r="D15" s="42"/>
      <c r="E15" s="44"/>
      <c r="F15" s="45"/>
      <c r="G15" s="46"/>
      <c r="H15" s="6"/>
      <c r="I15" s="47"/>
      <c r="J15" s="48"/>
    </row>
    <row r="16" spans="1:10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35">
      <c r="A17" s="19"/>
      <c r="B17" s="19"/>
      <c r="C17" s="15"/>
      <c r="D17" s="16"/>
      <c r="E17" s="16"/>
      <c r="F17" s="16"/>
      <c r="G17" s="16"/>
      <c r="H17" s="16"/>
      <c r="I17" s="16"/>
      <c r="J17" s="16"/>
    </row>
    <row r="18" spans="1:10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35">
      <c r="A19" s="13"/>
      <c r="B19" s="13"/>
      <c r="C19" s="13"/>
      <c r="D19" s="13"/>
      <c r="E19" s="13"/>
      <c r="F19" s="13"/>
      <c r="G19" s="13"/>
      <c r="I19" s="13"/>
      <c r="J19" s="13"/>
    </row>
    <row r="20" spans="1:10" x14ac:dyDescent="0.35">
      <c r="A20" s="13"/>
      <c r="B20" s="13"/>
      <c r="C20" s="13"/>
      <c r="D20" s="13"/>
      <c r="E20" s="13"/>
      <c r="F20" s="13"/>
      <c r="G20" s="13"/>
      <c r="I20" s="13"/>
      <c r="J20" s="13"/>
    </row>
    <row r="21" spans="1:10" x14ac:dyDescent="0.35">
      <c r="A21" s="13"/>
      <c r="B21" s="13"/>
      <c r="C21" s="13"/>
      <c r="D21" s="13"/>
      <c r="E21" s="13"/>
      <c r="F21" s="13"/>
      <c r="G21" s="13"/>
      <c r="I21" s="13"/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I22" s="13"/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I23" s="13"/>
      <c r="J23" s="13"/>
    </row>
    <row r="24" spans="1:10" x14ac:dyDescent="0.35">
      <c r="A24" s="13"/>
      <c r="B24" s="13"/>
      <c r="C24" s="13"/>
      <c r="D24" s="13"/>
      <c r="E24" s="13"/>
      <c r="F24" s="13"/>
      <c r="G24" s="13"/>
      <c r="I24" s="13"/>
      <c r="J24" s="13"/>
    </row>
    <row r="25" spans="1:10" x14ac:dyDescent="0.35">
      <c r="A25" s="13"/>
      <c r="B25" s="13"/>
      <c r="C25" s="13"/>
      <c r="D25" s="13"/>
      <c r="E25" s="13"/>
      <c r="F25" s="13"/>
      <c r="G25" s="13"/>
      <c r="I25" s="13"/>
      <c r="J25" s="13"/>
    </row>
    <row r="26" spans="1:10" x14ac:dyDescent="0.35">
      <c r="A26" s="13"/>
      <c r="B26" s="13"/>
      <c r="C26" s="13"/>
      <c r="D26" s="13"/>
      <c r="E26" s="13"/>
      <c r="F26" s="13"/>
      <c r="G26" s="13"/>
      <c r="I26" s="13"/>
      <c r="J26" s="13"/>
    </row>
    <row r="27" spans="1:10" x14ac:dyDescent="0.35">
      <c r="A27" s="13"/>
      <c r="B27" s="13"/>
      <c r="C27" s="13"/>
      <c r="D27" s="13"/>
      <c r="E27" s="13"/>
      <c r="F27" s="13"/>
      <c r="G27" s="13"/>
      <c r="I27" s="13"/>
      <c r="J27" s="13"/>
    </row>
    <row r="28" spans="1:10" x14ac:dyDescent="0.35">
      <c r="A28" s="13"/>
      <c r="B28" s="13"/>
      <c r="C28" s="13"/>
      <c r="D28" s="13"/>
      <c r="E28" s="13"/>
      <c r="F28" s="13"/>
      <c r="G28" s="13"/>
      <c r="I28" s="13"/>
      <c r="J28" s="13"/>
    </row>
    <row r="29" spans="1:10" x14ac:dyDescent="0.35">
      <c r="A29" s="13"/>
      <c r="B29" s="13"/>
      <c r="C29" s="13"/>
      <c r="D29" s="13"/>
      <c r="E29" s="13"/>
      <c r="F29" s="13"/>
      <c r="G29" s="13"/>
      <c r="I29" s="13"/>
      <c r="J29" s="13"/>
    </row>
    <row r="30" spans="1:10" x14ac:dyDescent="0.35">
      <c r="A30" s="13"/>
      <c r="B30" s="13"/>
      <c r="C30" s="13"/>
      <c r="D30" s="13"/>
      <c r="E30" s="13"/>
      <c r="F30" s="13"/>
      <c r="G30" s="13"/>
      <c r="I30" s="13"/>
      <c r="J30" s="13"/>
    </row>
    <row r="31" spans="1:10" x14ac:dyDescent="0.35">
      <c r="A31" s="13"/>
      <c r="B31" s="13"/>
      <c r="C31" s="13"/>
      <c r="D31" s="13"/>
      <c r="E31" s="13"/>
      <c r="F31" s="13"/>
      <c r="G31" s="13"/>
      <c r="I31" s="13"/>
      <c r="J31" s="13"/>
    </row>
    <row r="32" spans="1:10" x14ac:dyDescent="0.35">
      <c r="A32" s="13"/>
      <c r="B32" s="13"/>
      <c r="C32" s="13"/>
      <c r="D32" s="13"/>
      <c r="E32" s="13"/>
      <c r="F32" s="13"/>
      <c r="G32" s="13"/>
      <c r="I32" s="13"/>
      <c r="J32" s="13"/>
    </row>
    <row r="33" spans="1:10" x14ac:dyDescent="0.35">
      <c r="A33" s="13"/>
      <c r="B33" s="13"/>
      <c r="C33" s="13"/>
      <c r="D33" s="13"/>
      <c r="E33" s="13"/>
      <c r="F33" s="13"/>
      <c r="G33" s="13"/>
      <c r="I33" s="13"/>
      <c r="J33" s="13"/>
    </row>
    <row r="34" spans="1:10" x14ac:dyDescent="0.35">
      <c r="A34" s="13"/>
      <c r="B34" s="13"/>
      <c r="C34" s="13"/>
      <c r="D34" s="13"/>
      <c r="E34" s="13"/>
      <c r="F34" s="13"/>
      <c r="G34" s="13"/>
      <c r="I34" s="13"/>
      <c r="J34" s="13"/>
    </row>
    <row r="35" spans="1:10" x14ac:dyDescent="0.35">
      <c r="A35" s="13"/>
      <c r="B35" s="13"/>
      <c r="C35" s="13"/>
      <c r="D35" s="13"/>
      <c r="E35" s="13"/>
      <c r="F35" s="13"/>
      <c r="G35" s="13"/>
      <c r="I35" s="13"/>
      <c r="J35" s="13"/>
    </row>
    <row r="36" spans="1:10" x14ac:dyDescent="0.35">
      <c r="A36" s="13"/>
      <c r="B36" s="13"/>
      <c r="C36" s="13"/>
      <c r="D36" s="13"/>
      <c r="E36" s="13"/>
      <c r="F36" s="13"/>
      <c r="G36" s="13"/>
      <c r="I36" s="13"/>
      <c r="J36" s="13"/>
    </row>
    <row r="37" spans="1:10" x14ac:dyDescent="0.35">
      <c r="A37" s="13"/>
      <c r="B37" s="13"/>
      <c r="C37" s="13"/>
      <c r="D37" s="13"/>
      <c r="E37" s="13"/>
      <c r="F37" s="13"/>
      <c r="G37" s="13"/>
      <c r="I37" s="13"/>
      <c r="J37" s="13"/>
    </row>
    <row r="38" spans="1:10" x14ac:dyDescent="0.35">
      <c r="A38" s="13"/>
      <c r="B38" s="13"/>
      <c r="C38" s="13"/>
      <c r="D38" s="13"/>
      <c r="E38" s="13"/>
      <c r="F38" s="13"/>
      <c r="G38" s="13"/>
      <c r="I38" s="13"/>
      <c r="J38" s="13"/>
    </row>
    <row r="39" spans="1:10" x14ac:dyDescent="0.35">
      <c r="A39" s="13"/>
      <c r="B39" s="13"/>
      <c r="C39" s="13"/>
      <c r="D39" s="13"/>
      <c r="E39" s="13"/>
      <c r="F39" s="13"/>
      <c r="G39" s="13"/>
      <c r="I39" s="13"/>
      <c r="J39" s="13"/>
    </row>
    <row r="40" spans="1:10" x14ac:dyDescent="0.35">
      <c r="A40" s="13"/>
      <c r="B40" s="13"/>
      <c r="C40" s="13"/>
      <c r="D40" s="13"/>
      <c r="E40" s="13"/>
      <c r="F40" s="13"/>
      <c r="G40" s="13"/>
      <c r="I40" s="13"/>
      <c r="J40" s="13"/>
    </row>
    <row r="41" spans="1:10" x14ac:dyDescent="0.35">
      <c r="A41" s="13"/>
      <c r="B41" s="13"/>
      <c r="C41" s="13"/>
      <c r="D41" s="13"/>
      <c r="E41" s="13"/>
      <c r="F41" s="13"/>
      <c r="G41" s="13"/>
      <c r="I41" s="13"/>
      <c r="J41" s="13"/>
    </row>
    <row r="42" spans="1:10" x14ac:dyDescent="0.35">
      <c r="A42" s="13"/>
      <c r="B42" s="13"/>
      <c r="C42" s="13"/>
      <c r="D42" s="13"/>
      <c r="E42" s="13"/>
      <c r="F42" s="13"/>
      <c r="G42" s="13"/>
      <c r="I42" s="13"/>
      <c r="J42" s="13"/>
    </row>
    <row r="43" spans="1:10" x14ac:dyDescent="0.35">
      <c r="A43" s="13"/>
      <c r="B43" s="13"/>
      <c r="C43" s="13"/>
      <c r="D43" s="13"/>
      <c r="E43" s="13"/>
      <c r="F43" s="13"/>
      <c r="G43" s="13"/>
      <c r="I43" s="13"/>
      <c r="J43" s="13"/>
    </row>
    <row r="44" spans="1:10" x14ac:dyDescent="0.35">
      <c r="A44" s="13"/>
      <c r="B44" s="13"/>
      <c r="C44" s="13"/>
      <c r="D44" s="13"/>
      <c r="E44" s="13"/>
      <c r="F44" s="13"/>
      <c r="G44" s="13"/>
      <c r="I44" s="13"/>
      <c r="J44" s="13"/>
    </row>
    <row r="45" spans="1:10" x14ac:dyDescent="0.35">
      <c r="A45" s="13"/>
      <c r="B45" s="13"/>
      <c r="C45" s="13"/>
      <c r="D45" s="13"/>
      <c r="E45" s="13"/>
      <c r="F45" s="13"/>
      <c r="G45" s="13"/>
      <c r="I45" s="13"/>
      <c r="J45" s="13"/>
    </row>
    <row r="46" spans="1:10" x14ac:dyDescent="0.35">
      <c r="A46" s="13"/>
      <c r="B46" s="13"/>
      <c r="C46" s="13"/>
      <c r="D46" s="13"/>
      <c r="E46" s="13"/>
      <c r="F46" s="13"/>
      <c r="G46" s="13"/>
      <c r="I46" s="13"/>
      <c r="J46" s="13"/>
    </row>
    <row r="47" spans="1:10" x14ac:dyDescent="0.35">
      <c r="A47" s="13"/>
      <c r="B47" s="13"/>
      <c r="C47" s="13"/>
      <c r="D47" s="13"/>
      <c r="E47" s="13"/>
      <c r="F47" s="13"/>
      <c r="G47" s="13"/>
      <c r="I47" s="13"/>
      <c r="J47" s="13"/>
    </row>
    <row r="48" spans="1:10" x14ac:dyDescent="0.35">
      <c r="A48" s="13"/>
      <c r="B48" s="13"/>
      <c r="C48" s="13"/>
      <c r="D48" s="13"/>
      <c r="E48" s="13"/>
      <c r="F48" s="13"/>
      <c r="G48" s="13"/>
      <c r="I48" s="13"/>
      <c r="J48" s="13"/>
    </row>
    <row r="49" spans="1:10" x14ac:dyDescent="0.35">
      <c r="A49" s="13"/>
      <c r="B49" s="13"/>
      <c r="C49" s="13"/>
      <c r="D49" s="13"/>
      <c r="E49" s="13"/>
      <c r="F49" s="13"/>
      <c r="G49" s="13"/>
      <c r="I49" s="13"/>
      <c r="J49" s="13"/>
    </row>
    <row r="50" spans="1:10" x14ac:dyDescent="0.35">
      <c r="A50" s="13"/>
      <c r="B50" s="13"/>
      <c r="C50" s="13"/>
      <c r="D50" s="13"/>
      <c r="E50" s="13"/>
      <c r="F50" s="13"/>
      <c r="G50" s="13"/>
      <c r="I50" s="13"/>
      <c r="J50" s="13"/>
    </row>
    <row r="51" spans="1:10" x14ac:dyDescent="0.35">
      <c r="A51" s="13"/>
      <c r="B51" s="13"/>
      <c r="C51" s="13"/>
      <c r="D51" s="13"/>
      <c r="E51" s="13"/>
      <c r="F51" s="13"/>
      <c r="G51" s="13"/>
      <c r="I51" s="13"/>
      <c r="J51" s="13"/>
    </row>
    <row r="52" spans="1:10" x14ac:dyDescent="0.35">
      <c r="A52" s="13"/>
      <c r="B52" s="13"/>
      <c r="C52" s="13"/>
      <c r="D52" s="13"/>
      <c r="E52" s="13"/>
      <c r="F52" s="13"/>
      <c r="G52" s="13"/>
      <c r="I52" s="13"/>
      <c r="J52" s="13"/>
    </row>
    <row r="53" spans="1:10" x14ac:dyDescent="0.35">
      <c r="A53" s="13"/>
      <c r="B53" s="13"/>
      <c r="C53" s="13"/>
      <c r="D53" s="13"/>
      <c r="E53" s="13"/>
      <c r="F53" s="13"/>
      <c r="G53" s="13"/>
      <c r="I53" s="13"/>
      <c r="J53" s="13"/>
    </row>
    <row r="54" spans="1:10" x14ac:dyDescent="0.35">
      <c r="A54" s="13"/>
      <c r="B54" s="13"/>
      <c r="C54" s="13"/>
      <c r="D54" s="13"/>
      <c r="E54" s="13"/>
      <c r="F54" s="13"/>
      <c r="G54" s="13"/>
      <c r="I54" s="13"/>
      <c r="J54" s="13"/>
    </row>
    <row r="55" spans="1:10" x14ac:dyDescent="0.35">
      <c r="A55" s="13"/>
      <c r="B55" s="13"/>
      <c r="C55" s="13"/>
      <c r="D55" s="13"/>
      <c r="E55" s="13"/>
      <c r="F55" s="13"/>
      <c r="G55" s="13"/>
      <c r="I55" s="13"/>
      <c r="J55" s="13"/>
    </row>
    <row r="56" spans="1:10" x14ac:dyDescent="0.35">
      <c r="A56" s="13"/>
      <c r="B56" s="13"/>
      <c r="C56" s="13"/>
      <c r="D56" s="13"/>
      <c r="E56" s="13"/>
      <c r="F56" s="13"/>
      <c r="G56" s="13"/>
      <c r="I56" s="13"/>
      <c r="J56" s="13"/>
    </row>
    <row r="57" spans="1:10" x14ac:dyDescent="0.35">
      <c r="A57" s="13"/>
      <c r="B57" s="13"/>
      <c r="C57" s="13"/>
      <c r="D57" s="13"/>
      <c r="E57" s="13"/>
      <c r="F57" s="13"/>
      <c r="G57" s="13"/>
      <c r="I57" s="13"/>
      <c r="J57" s="13"/>
    </row>
    <row r="58" spans="1:10" x14ac:dyDescent="0.35">
      <c r="A58" s="13"/>
      <c r="B58" s="13"/>
      <c r="C58" s="13"/>
      <c r="D58" s="13"/>
      <c r="E58" s="13"/>
      <c r="F58" s="13"/>
      <c r="G58" s="13"/>
      <c r="I58" s="13"/>
      <c r="J58" s="13"/>
    </row>
    <row r="59" spans="1:10" x14ac:dyDescent="0.35">
      <c r="A59" s="13"/>
      <c r="B59" s="13"/>
      <c r="C59" s="13"/>
      <c r="D59" s="13"/>
      <c r="E59" s="13"/>
      <c r="F59" s="13"/>
      <c r="G59" s="13"/>
      <c r="I59" s="13"/>
      <c r="J59" s="13"/>
    </row>
    <row r="60" spans="1:10" x14ac:dyDescent="0.35">
      <c r="A60" s="13"/>
      <c r="B60" s="13"/>
      <c r="C60" s="13"/>
      <c r="D60" s="13"/>
      <c r="E60" s="13"/>
      <c r="F60" s="13"/>
      <c r="G60" s="13"/>
      <c r="I60" s="13"/>
      <c r="J60" s="13"/>
    </row>
    <row r="61" spans="1:10" x14ac:dyDescent="0.35">
      <c r="A61" s="13"/>
      <c r="B61" s="13"/>
      <c r="C61" s="13"/>
      <c r="D61" s="13"/>
      <c r="E61" s="13"/>
      <c r="F61" s="13"/>
      <c r="G61" s="13"/>
      <c r="I61" s="13"/>
      <c r="J61" s="13"/>
    </row>
    <row r="62" spans="1:10" x14ac:dyDescent="0.35">
      <c r="A62" s="13"/>
      <c r="B62" s="13"/>
      <c r="C62" s="13"/>
      <c r="D62" s="13"/>
      <c r="E62" s="13"/>
      <c r="F62" s="13"/>
      <c r="G62" s="13"/>
      <c r="I62" s="13"/>
      <c r="J62" s="13"/>
    </row>
    <row r="63" spans="1:10" x14ac:dyDescent="0.35">
      <c r="A63" s="13"/>
      <c r="B63" s="13"/>
      <c r="C63" s="13"/>
      <c r="D63" s="13"/>
      <c r="E63" s="13"/>
      <c r="F63" s="13"/>
      <c r="G63" s="13"/>
      <c r="I63" s="13"/>
      <c r="J63" s="13"/>
    </row>
    <row r="64" spans="1:10" x14ac:dyDescent="0.35">
      <c r="A64" s="13"/>
      <c r="B64" s="13"/>
      <c r="C64" s="13"/>
      <c r="D64" s="13"/>
      <c r="E64" s="13"/>
      <c r="F64" s="13"/>
      <c r="G64" s="13"/>
      <c r="I64" s="13"/>
      <c r="J64" s="13"/>
    </row>
    <row r="65" spans="1:10" x14ac:dyDescent="0.35">
      <c r="A65" s="13"/>
      <c r="B65" s="13"/>
      <c r="C65" s="13"/>
      <c r="D65" s="13"/>
      <c r="E65" s="13"/>
      <c r="F65" s="13"/>
      <c r="G65" s="13"/>
      <c r="I65" s="13"/>
      <c r="J65" s="13"/>
    </row>
    <row r="66" spans="1:10" x14ac:dyDescent="0.35">
      <c r="A66" s="13"/>
      <c r="B66" s="13"/>
      <c r="C66" s="13"/>
      <c r="D66" s="13"/>
      <c r="E66" s="13"/>
      <c r="F66" s="13"/>
      <c r="G66" s="13"/>
      <c r="I66" s="13"/>
      <c r="J66" s="13"/>
    </row>
    <row r="67" spans="1:10" x14ac:dyDescent="0.35">
      <c r="A67" s="13"/>
      <c r="B67" s="13"/>
      <c r="C67" s="13"/>
      <c r="D67" s="13"/>
      <c r="E67" s="13"/>
      <c r="F67" s="13"/>
      <c r="G67" s="13"/>
      <c r="I67" s="13"/>
      <c r="J67" s="13"/>
    </row>
    <row r="68" spans="1:10" x14ac:dyDescent="0.35">
      <c r="A68" s="13"/>
      <c r="B68" s="13"/>
      <c r="C68" s="13"/>
      <c r="D68" s="13"/>
      <c r="E68" s="13"/>
      <c r="F68" s="13"/>
      <c r="G68" s="13"/>
      <c r="I68" s="13"/>
      <c r="J68" s="13"/>
    </row>
    <row r="69" spans="1:10" x14ac:dyDescent="0.35">
      <c r="A69" s="13"/>
      <c r="B69" s="13"/>
      <c r="C69" s="13"/>
      <c r="D69" s="13"/>
      <c r="E69" s="13"/>
      <c r="F69" s="13"/>
      <c r="G69" s="13"/>
      <c r="I69" s="13"/>
      <c r="J69" s="13"/>
    </row>
    <row r="70" spans="1:10" x14ac:dyDescent="0.35">
      <c r="A70" s="13"/>
      <c r="B70" s="13"/>
      <c r="C70" s="13"/>
      <c r="D70" s="13"/>
      <c r="E70" s="13"/>
      <c r="F70" s="13"/>
      <c r="G70" s="13"/>
      <c r="I70" s="13"/>
      <c r="J70" s="13"/>
    </row>
    <row r="71" spans="1:10" x14ac:dyDescent="0.35">
      <c r="A71" s="13"/>
      <c r="B71" s="13"/>
      <c r="C71" s="13"/>
      <c r="D71" s="13"/>
      <c r="E71" s="13"/>
      <c r="F71" s="13"/>
      <c r="G71" s="13"/>
      <c r="I71" s="13"/>
      <c r="J71" s="13"/>
    </row>
    <row r="72" spans="1:10" x14ac:dyDescent="0.35">
      <c r="A72" s="13"/>
      <c r="B72" s="13"/>
      <c r="C72" s="13"/>
      <c r="D72" s="13"/>
      <c r="E72" s="13"/>
      <c r="F72" s="13"/>
      <c r="G72" s="13"/>
      <c r="I72" s="13"/>
      <c r="J72" s="13"/>
    </row>
  </sheetData>
  <mergeCells count="274">
    <mergeCell ref="A72:B72"/>
    <mergeCell ref="C72:D72"/>
    <mergeCell ref="E72:G72"/>
    <mergeCell ref="I72:J72"/>
    <mergeCell ref="I3:J3"/>
    <mergeCell ref="E3:G3"/>
    <mergeCell ref="C3:D3"/>
    <mergeCell ref="A3:B3"/>
    <mergeCell ref="A70:B70"/>
    <mergeCell ref="C70:D70"/>
    <mergeCell ref="E70:G70"/>
    <mergeCell ref="I70:J70"/>
    <mergeCell ref="A71:B71"/>
    <mergeCell ref="C71:D71"/>
    <mergeCell ref="E71:G71"/>
    <mergeCell ref="I71:J71"/>
    <mergeCell ref="A68:B68"/>
    <mergeCell ref="C68:D68"/>
    <mergeCell ref="E68:G68"/>
    <mergeCell ref="I68:J68"/>
    <mergeCell ref="A69:B69"/>
    <mergeCell ref="C69:D69"/>
    <mergeCell ref="E69:G69"/>
    <mergeCell ref="I69:J69"/>
    <mergeCell ref="A66:B66"/>
    <mergeCell ref="C66:D66"/>
    <mergeCell ref="E66:G66"/>
    <mergeCell ref="I66:J66"/>
    <mergeCell ref="A67:B67"/>
    <mergeCell ref="C67:D67"/>
    <mergeCell ref="E67:G67"/>
    <mergeCell ref="I67:J67"/>
    <mergeCell ref="A64:B64"/>
    <mergeCell ref="C64:D64"/>
    <mergeCell ref="E64:G64"/>
    <mergeCell ref="I64:J64"/>
    <mergeCell ref="A65:B65"/>
    <mergeCell ref="C65:D65"/>
    <mergeCell ref="E65:G65"/>
    <mergeCell ref="I65:J65"/>
    <mergeCell ref="A62:B62"/>
    <mergeCell ref="C62:D62"/>
    <mergeCell ref="E62:G62"/>
    <mergeCell ref="I62:J62"/>
    <mergeCell ref="A63:B63"/>
    <mergeCell ref="C63:D63"/>
    <mergeCell ref="E63:G63"/>
    <mergeCell ref="I63:J63"/>
    <mergeCell ref="A60:B60"/>
    <mergeCell ref="C60:D60"/>
    <mergeCell ref="E60:G60"/>
    <mergeCell ref="I60:J60"/>
    <mergeCell ref="A61:B61"/>
    <mergeCell ref="C61:D61"/>
    <mergeCell ref="E61:G61"/>
    <mergeCell ref="I61:J61"/>
    <mergeCell ref="A58:B58"/>
    <mergeCell ref="C58:D58"/>
    <mergeCell ref="E58:G58"/>
    <mergeCell ref="I58:J58"/>
    <mergeCell ref="A59:B59"/>
    <mergeCell ref="C59:D59"/>
    <mergeCell ref="E59:G59"/>
    <mergeCell ref="I59:J59"/>
    <mergeCell ref="A56:B56"/>
    <mergeCell ref="C56:D56"/>
    <mergeCell ref="E56:G56"/>
    <mergeCell ref="I56:J56"/>
    <mergeCell ref="A57:B57"/>
    <mergeCell ref="C57:D57"/>
    <mergeCell ref="E57:G57"/>
    <mergeCell ref="I57:J57"/>
    <mergeCell ref="A54:B54"/>
    <mergeCell ref="C54:D54"/>
    <mergeCell ref="E54:G54"/>
    <mergeCell ref="I54:J54"/>
    <mergeCell ref="A55:B55"/>
    <mergeCell ref="C55:D55"/>
    <mergeCell ref="E55:G55"/>
    <mergeCell ref="I55:J55"/>
    <mergeCell ref="A52:B52"/>
    <mergeCell ref="C52:D52"/>
    <mergeCell ref="E52:G52"/>
    <mergeCell ref="I52:J52"/>
    <mergeCell ref="A53:B53"/>
    <mergeCell ref="C53:D53"/>
    <mergeCell ref="E53:G53"/>
    <mergeCell ref="I53:J53"/>
    <mergeCell ref="A50:B50"/>
    <mergeCell ref="C50:D50"/>
    <mergeCell ref="E50:G50"/>
    <mergeCell ref="I50:J50"/>
    <mergeCell ref="A51:B51"/>
    <mergeCell ref="C51:D51"/>
    <mergeCell ref="E51:G51"/>
    <mergeCell ref="I51:J51"/>
    <mergeCell ref="A48:B48"/>
    <mergeCell ref="C48:D48"/>
    <mergeCell ref="E48:G48"/>
    <mergeCell ref="I48:J48"/>
    <mergeCell ref="A49:B49"/>
    <mergeCell ref="C49:D49"/>
    <mergeCell ref="E49:G49"/>
    <mergeCell ref="I49:J49"/>
    <mergeCell ref="A46:B46"/>
    <mergeCell ref="C46:D46"/>
    <mergeCell ref="E46:G46"/>
    <mergeCell ref="I46:J46"/>
    <mergeCell ref="A47:B47"/>
    <mergeCell ref="C47:D47"/>
    <mergeCell ref="E47:G47"/>
    <mergeCell ref="I47:J47"/>
    <mergeCell ref="A44:B44"/>
    <mergeCell ref="C44:D44"/>
    <mergeCell ref="E44:G44"/>
    <mergeCell ref="I44:J44"/>
    <mergeCell ref="A45:B45"/>
    <mergeCell ref="C45:D45"/>
    <mergeCell ref="E45:G45"/>
    <mergeCell ref="I45:J45"/>
    <mergeCell ref="A42:B42"/>
    <mergeCell ref="C42:D42"/>
    <mergeCell ref="E42:G42"/>
    <mergeCell ref="I42:J42"/>
    <mergeCell ref="A43:B43"/>
    <mergeCell ref="C43:D43"/>
    <mergeCell ref="E43:G43"/>
    <mergeCell ref="I43:J43"/>
    <mergeCell ref="A40:B40"/>
    <mergeCell ref="C40:D40"/>
    <mergeCell ref="E40:G40"/>
    <mergeCell ref="I40:J40"/>
    <mergeCell ref="A41:B41"/>
    <mergeCell ref="C41:D41"/>
    <mergeCell ref="E41:G41"/>
    <mergeCell ref="I41:J41"/>
    <mergeCell ref="A38:B38"/>
    <mergeCell ref="C38:D38"/>
    <mergeCell ref="E38:G38"/>
    <mergeCell ref="I38:J38"/>
    <mergeCell ref="A39:B39"/>
    <mergeCell ref="C39:D39"/>
    <mergeCell ref="E39:G39"/>
    <mergeCell ref="I39:J39"/>
    <mergeCell ref="A36:B36"/>
    <mergeCell ref="C36:D36"/>
    <mergeCell ref="E36:G36"/>
    <mergeCell ref="I36:J36"/>
    <mergeCell ref="A37:B37"/>
    <mergeCell ref="C37:D37"/>
    <mergeCell ref="E37:G37"/>
    <mergeCell ref="I37:J37"/>
    <mergeCell ref="A34:B34"/>
    <mergeCell ref="C34:D34"/>
    <mergeCell ref="E34:G34"/>
    <mergeCell ref="I34:J34"/>
    <mergeCell ref="A35:B35"/>
    <mergeCell ref="C35:D35"/>
    <mergeCell ref="E35:G35"/>
    <mergeCell ref="I35:J35"/>
    <mergeCell ref="A32:B32"/>
    <mergeCell ref="C32:D32"/>
    <mergeCell ref="E32:G32"/>
    <mergeCell ref="I32:J32"/>
    <mergeCell ref="A33:B33"/>
    <mergeCell ref="C33:D33"/>
    <mergeCell ref="E33:G33"/>
    <mergeCell ref="I33:J33"/>
    <mergeCell ref="A30:B30"/>
    <mergeCell ref="C30:D30"/>
    <mergeCell ref="E30:G30"/>
    <mergeCell ref="I30:J30"/>
    <mergeCell ref="A31:B31"/>
    <mergeCell ref="C31:D31"/>
    <mergeCell ref="E31:G31"/>
    <mergeCell ref="I31:J31"/>
    <mergeCell ref="A28:B28"/>
    <mergeCell ref="C28:D28"/>
    <mergeCell ref="E28:G28"/>
    <mergeCell ref="I28:J28"/>
    <mergeCell ref="A29:B29"/>
    <mergeCell ref="C29:D29"/>
    <mergeCell ref="E29:G29"/>
    <mergeCell ref="I29:J29"/>
    <mergeCell ref="A26:B26"/>
    <mergeCell ref="C26:D26"/>
    <mergeCell ref="E26:G26"/>
    <mergeCell ref="I26:J26"/>
    <mergeCell ref="A27:B27"/>
    <mergeCell ref="C27:D27"/>
    <mergeCell ref="E27:G27"/>
    <mergeCell ref="I27:J27"/>
    <mergeCell ref="A24:B24"/>
    <mergeCell ref="C24:D24"/>
    <mergeCell ref="E24:G24"/>
    <mergeCell ref="I24:J24"/>
    <mergeCell ref="A25:B25"/>
    <mergeCell ref="C25:D25"/>
    <mergeCell ref="E25:G25"/>
    <mergeCell ref="I25:J25"/>
    <mergeCell ref="A22:B22"/>
    <mergeCell ref="C22:D22"/>
    <mergeCell ref="E22:G22"/>
    <mergeCell ref="I22:J22"/>
    <mergeCell ref="A23:B23"/>
    <mergeCell ref="C23:D23"/>
    <mergeCell ref="E23:G23"/>
    <mergeCell ref="I23:J23"/>
    <mergeCell ref="A20:B20"/>
    <mergeCell ref="C20:D20"/>
    <mergeCell ref="E20:G20"/>
    <mergeCell ref="I20:J20"/>
    <mergeCell ref="A21:B21"/>
    <mergeCell ref="C21:D21"/>
    <mergeCell ref="E21:G21"/>
    <mergeCell ref="I21:J21"/>
    <mergeCell ref="A16:J16"/>
    <mergeCell ref="A17:B17"/>
    <mergeCell ref="C17:J17"/>
    <mergeCell ref="A18:J18"/>
    <mergeCell ref="A19:B19"/>
    <mergeCell ref="C19:D19"/>
    <mergeCell ref="E19:G19"/>
    <mergeCell ref="I19:J19"/>
    <mergeCell ref="A14:B14"/>
    <mergeCell ref="C14:D14"/>
    <mergeCell ref="E14:G14"/>
    <mergeCell ref="I14:J14"/>
    <mergeCell ref="A15:B15"/>
    <mergeCell ref="C15:D15"/>
    <mergeCell ref="E15:G15"/>
    <mergeCell ref="I15:J15"/>
    <mergeCell ref="A12:B12"/>
    <mergeCell ref="C12:D12"/>
    <mergeCell ref="E12:G12"/>
    <mergeCell ref="I12:J12"/>
    <mergeCell ref="A13:B13"/>
    <mergeCell ref="C13:D13"/>
    <mergeCell ref="E13:G13"/>
    <mergeCell ref="I13:J13"/>
    <mergeCell ref="A10:B10"/>
    <mergeCell ref="C10:D10"/>
    <mergeCell ref="E10:G10"/>
    <mergeCell ref="I10:J10"/>
    <mergeCell ref="A11:B11"/>
    <mergeCell ref="C11:D11"/>
    <mergeCell ref="E11:G11"/>
    <mergeCell ref="I11:J11"/>
    <mergeCell ref="A8:B8"/>
    <mergeCell ref="C8:D8"/>
    <mergeCell ref="E8:G8"/>
    <mergeCell ref="I8:J8"/>
    <mergeCell ref="A9:B9"/>
    <mergeCell ref="C9:D9"/>
    <mergeCell ref="E9:G9"/>
    <mergeCell ref="I9:J9"/>
    <mergeCell ref="A6:B6"/>
    <mergeCell ref="C6:D6"/>
    <mergeCell ref="E6:G6"/>
    <mergeCell ref="I6:J6"/>
    <mergeCell ref="A7:B7"/>
    <mergeCell ref="C7:D7"/>
    <mergeCell ref="E7:G7"/>
    <mergeCell ref="I7:J7"/>
    <mergeCell ref="A4:B4"/>
    <mergeCell ref="C4:D4"/>
    <mergeCell ref="E4:G4"/>
    <mergeCell ref="I4:J4"/>
    <mergeCell ref="A5:B5"/>
    <mergeCell ref="C5:D5"/>
    <mergeCell ref="E5:G5"/>
    <mergeCell ref="I5:J5"/>
    <mergeCell ref="A1:J1"/>
    <mergeCell ref="A2:J2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CA9F-3966-4DD7-B0EC-3C481451D633}">
  <dimension ref="A1:L62"/>
  <sheetViews>
    <sheetView zoomScale="86" zoomScaleNormal="115" workbookViewId="0">
      <selection activeCell="K4" sqref="K4:L4"/>
    </sheetView>
  </sheetViews>
  <sheetFormatPr defaultRowHeight="14.5" x14ac:dyDescent="0.35"/>
  <cols>
    <col min="8" max="8" width="12.36328125" bestFit="1" customWidth="1"/>
  </cols>
  <sheetData>
    <row r="1" spans="1:12" ht="17.5" thickBot="1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thickTop="1" thickBot="1" x14ac:dyDescent="0.4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" thickTop="1" x14ac:dyDescent="0.35">
      <c r="A3" s="20" t="s">
        <v>77</v>
      </c>
      <c r="B3" s="21"/>
      <c r="C3" s="22" t="s">
        <v>78</v>
      </c>
      <c r="D3" s="22"/>
      <c r="E3" s="22" t="s">
        <v>79</v>
      </c>
      <c r="F3" s="22"/>
      <c r="G3" s="22"/>
      <c r="H3" s="49" t="s">
        <v>80</v>
      </c>
      <c r="I3" s="51"/>
      <c r="J3" s="50"/>
      <c r="K3" s="22" t="s">
        <v>81</v>
      </c>
      <c r="L3" s="22"/>
    </row>
    <row r="4" spans="1:12" x14ac:dyDescent="0.35">
      <c r="A4" s="19" t="s">
        <v>82</v>
      </c>
      <c r="B4" s="19"/>
      <c r="C4" s="37">
        <v>50000</v>
      </c>
      <c r="D4" s="37"/>
      <c r="E4" s="15">
        <v>0</v>
      </c>
      <c r="F4" s="52"/>
      <c r="G4" s="31"/>
      <c r="H4" s="15">
        <v>0</v>
      </c>
      <c r="I4" s="52"/>
      <c r="J4" s="31"/>
      <c r="K4" s="37">
        <f>C4+E4-H4</f>
        <v>50000</v>
      </c>
      <c r="L4" s="37"/>
    </row>
    <row r="5" spans="1:12" x14ac:dyDescent="0.35">
      <c r="A5" s="19"/>
      <c r="B5" s="19"/>
      <c r="C5" s="19"/>
      <c r="D5" s="19"/>
      <c r="E5" s="32"/>
      <c r="F5" s="53"/>
      <c r="G5" s="33"/>
      <c r="H5" s="18"/>
      <c r="I5" s="54"/>
      <c r="J5" s="55"/>
      <c r="K5" s="19"/>
      <c r="L5" s="19"/>
    </row>
    <row r="6" spans="1:12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5">
      <c r="A7" s="19"/>
      <c r="B7" s="19"/>
      <c r="C7" s="15"/>
      <c r="D7" s="16"/>
      <c r="E7" s="16"/>
      <c r="F7" s="16"/>
      <c r="G7" s="16"/>
      <c r="H7" s="16"/>
      <c r="I7" s="16"/>
      <c r="J7" s="16"/>
      <c r="K7" s="16"/>
      <c r="L7" s="17"/>
    </row>
    <row r="8" spans="1:12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5">
      <c r="A9" s="13"/>
      <c r="B9" s="13"/>
      <c r="C9" s="13"/>
      <c r="D9" s="13"/>
      <c r="E9" s="13"/>
      <c r="F9" s="13"/>
      <c r="G9" s="13"/>
      <c r="I9" s="13"/>
      <c r="J9" s="13"/>
      <c r="K9" s="13"/>
      <c r="L9" s="13"/>
    </row>
    <row r="10" spans="1:12" x14ac:dyDescent="0.35">
      <c r="A10" s="13"/>
      <c r="B10" s="13"/>
      <c r="C10" s="13"/>
      <c r="D10" s="13"/>
      <c r="E10" s="13"/>
      <c r="F10" s="13"/>
      <c r="G10" s="13"/>
      <c r="I10" s="13"/>
      <c r="J10" s="13"/>
      <c r="K10" s="13"/>
      <c r="L10" s="13"/>
    </row>
    <row r="11" spans="1:12" x14ac:dyDescent="0.35">
      <c r="A11" s="13"/>
      <c r="B11" s="13"/>
      <c r="C11" s="13"/>
      <c r="D11" s="13"/>
      <c r="E11" s="13"/>
      <c r="F11" s="13"/>
      <c r="G11" s="13"/>
      <c r="I11" s="13"/>
      <c r="J11" s="13"/>
      <c r="K11" s="13"/>
      <c r="L11" s="13"/>
    </row>
    <row r="12" spans="1:12" x14ac:dyDescent="0.35">
      <c r="A12" s="13"/>
      <c r="B12" s="13"/>
      <c r="C12" s="13"/>
      <c r="D12" s="13"/>
      <c r="E12" s="13"/>
      <c r="F12" s="13"/>
      <c r="G12" s="13"/>
      <c r="I12" s="13"/>
      <c r="J12" s="13"/>
      <c r="K12" s="13"/>
      <c r="L12" s="13"/>
    </row>
    <row r="13" spans="1:12" x14ac:dyDescent="0.35">
      <c r="A13" s="13"/>
      <c r="B13" s="13"/>
      <c r="C13" s="13"/>
      <c r="D13" s="13"/>
      <c r="E13" s="13"/>
      <c r="F13" s="13"/>
      <c r="G13" s="13"/>
      <c r="I13" s="13"/>
      <c r="J13" s="13"/>
      <c r="K13" s="13"/>
      <c r="L13" s="13"/>
    </row>
    <row r="14" spans="1:12" x14ac:dyDescent="0.35">
      <c r="A14" s="13"/>
      <c r="B14" s="13"/>
      <c r="C14" s="13"/>
      <c r="D14" s="13"/>
      <c r="E14" s="13"/>
      <c r="F14" s="13"/>
      <c r="G14" s="13"/>
      <c r="I14" s="13"/>
      <c r="J14" s="13"/>
      <c r="K14" s="13"/>
      <c r="L14" s="13"/>
    </row>
    <row r="15" spans="1:12" x14ac:dyDescent="0.35">
      <c r="A15" s="13"/>
      <c r="B15" s="13"/>
      <c r="C15" s="13"/>
      <c r="D15" s="13"/>
      <c r="E15" s="13"/>
      <c r="F15" s="13"/>
      <c r="G15" s="13"/>
      <c r="I15" s="13"/>
      <c r="J15" s="13"/>
      <c r="K15" s="13"/>
      <c r="L15" s="13"/>
    </row>
    <row r="16" spans="1:12" x14ac:dyDescent="0.35">
      <c r="A16" s="13"/>
      <c r="B16" s="13"/>
      <c r="C16" s="13"/>
      <c r="D16" s="13"/>
      <c r="E16" s="13"/>
      <c r="F16" s="13"/>
      <c r="G16" s="13"/>
      <c r="I16" s="13"/>
      <c r="J16" s="13"/>
      <c r="K16" s="13"/>
      <c r="L16" s="13"/>
    </row>
    <row r="17" spans="1:12" x14ac:dyDescent="0.35">
      <c r="A17" s="13"/>
      <c r="B17" s="13"/>
      <c r="C17" s="13"/>
      <c r="D17" s="13"/>
      <c r="E17" s="13"/>
      <c r="F17" s="13"/>
      <c r="G17" s="13"/>
      <c r="I17" s="13"/>
      <c r="J17" s="13"/>
      <c r="K17" s="13"/>
      <c r="L17" s="13"/>
    </row>
    <row r="18" spans="1:12" x14ac:dyDescent="0.35">
      <c r="A18" s="13"/>
      <c r="B18" s="13"/>
      <c r="C18" s="13"/>
      <c r="D18" s="13"/>
      <c r="E18" s="13"/>
      <c r="F18" s="13"/>
      <c r="G18" s="13"/>
      <c r="I18" s="13"/>
      <c r="J18" s="13"/>
      <c r="K18" s="13"/>
      <c r="L18" s="13"/>
    </row>
    <row r="19" spans="1:12" x14ac:dyDescent="0.35">
      <c r="A19" s="13"/>
      <c r="B19" s="13"/>
      <c r="C19" s="13"/>
      <c r="D19" s="13"/>
      <c r="E19" s="13"/>
      <c r="F19" s="13"/>
      <c r="G19" s="13"/>
      <c r="I19" s="13"/>
      <c r="J19" s="13"/>
      <c r="K19" s="13"/>
      <c r="L19" s="13"/>
    </row>
    <row r="20" spans="1:12" x14ac:dyDescent="0.35">
      <c r="A20" s="13"/>
      <c r="B20" s="13"/>
      <c r="C20" s="13"/>
      <c r="D20" s="13"/>
      <c r="E20" s="13"/>
      <c r="F20" s="13"/>
      <c r="G20" s="13"/>
      <c r="I20" s="13"/>
      <c r="J20" s="13"/>
      <c r="K20" s="13"/>
      <c r="L20" s="13"/>
    </row>
    <row r="21" spans="1:12" x14ac:dyDescent="0.35">
      <c r="A21" s="13"/>
      <c r="B21" s="13"/>
      <c r="C21" s="13"/>
      <c r="D21" s="13"/>
      <c r="E21" s="13"/>
      <c r="F21" s="13"/>
      <c r="G21" s="13"/>
      <c r="I21" s="13"/>
      <c r="J21" s="13"/>
      <c r="K21" s="13"/>
      <c r="L21" s="13"/>
    </row>
    <row r="22" spans="1:12" x14ac:dyDescent="0.35">
      <c r="A22" s="13"/>
      <c r="B22" s="13"/>
      <c r="C22" s="13"/>
      <c r="D22" s="13"/>
      <c r="E22" s="13"/>
      <c r="F22" s="13"/>
      <c r="G22" s="13"/>
      <c r="I22" s="13"/>
      <c r="J22" s="13"/>
      <c r="K22" s="13"/>
      <c r="L22" s="13"/>
    </row>
    <row r="23" spans="1:12" x14ac:dyDescent="0.35">
      <c r="A23" s="13"/>
      <c r="B23" s="13"/>
      <c r="C23" s="13"/>
      <c r="D23" s="13"/>
      <c r="E23" s="13"/>
      <c r="F23" s="13"/>
      <c r="G23" s="13"/>
      <c r="I23" s="13"/>
      <c r="J23" s="13"/>
      <c r="K23" s="13"/>
      <c r="L23" s="13"/>
    </row>
    <row r="24" spans="1:12" x14ac:dyDescent="0.35">
      <c r="A24" s="13"/>
      <c r="B24" s="13"/>
      <c r="C24" s="13"/>
      <c r="D24" s="13"/>
      <c r="E24" s="13"/>
      <c r="F24" s="13"/>
      <c r="G24" s="13"/>
      <c r="I24" s="13"/>
      <c r="J24" s="13"/>
      <c r="K24" s="13"/>
      <c r="L24" s="13"/>
    </row>
    <row r="25" spans="1:12" x14ac:dyDescent="0.35">
      <c r="A25" s="13"/>
      <c r="B25" s="13"/>
      <c r="C25" s="13"/>
      <c r="D25" s="13"/>
      <c r="E25" s="13"/>
      <c r="F25" s="13"/>
      <c r="G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I26" s="13"/>
      <c r="J26" s="13"/>
      <c r="K26" s="13"/>
      <c r="L26" s="13"/>
    </row>
    <row r="27" spans="1:12" x14ac:dyDescent="0.35">
      <c r="A27" s="13"/>
      <c r="B27" s="13"/>
      <c r="C27" s="13"/>
      <c r="D27" s="13"/>
      <c r="E27" s="13"/>
      <c r="F27" s="13"/>
      <c r="G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I28" s="13"/>
      <c r="J28" s="13"/>
      <c r="K28" s="13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I30" s="13"/>
      <c r="J30" s="13"/>
      <c r="K30" s="13"/>
      <c r="L30" s="13"/>
    </row>
    <row r="31" spans="1:12" x14ac:dyDescent="0.35">
      <c r="A31" s="13"/>
      <c r="B31" s="13"/>
      <c r="C31" s="13"/>
      <c r="D31" s="13"/>
      <c r="E31" s="13"/>
      <c r="F31" s="13"/>
      <c r="G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I32" s="13"/>
      <c r="J32" s="13"/>
      <c r="K32" s="13"/>
      <c r="L32" s="13"/>
    </row>
    <row r="33" spans="1:12" x14ac:dyDescent="0.35">
      <c r="A33" s="13"/>
      <c r="B33" s="13"/>
      <c r="C33" s="13"/>
      <c r="D33" s="13"/>
      <c r="E33" s="13"/>
      <c r="F33" s="13"/>
      <c r="G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I38" s="13"/>
      <c r="J38" s="13"/>
      <c r="K38" s="13"/>
      <c r="L38" s="13"/>
    </row>
    <row r="39" spans="1:12" x14ac:dyDescent="0.35">
      <c r="A39" s="13"/>
      <c r="B39" s="13"/>
      <c r="C39" s="13"/>
      <c r="D39" s="13"/>
      <c r="E39" s="13"/>
      <c r="F39" s="13"/>
      <c r="G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I46" s="13"/>
      <c r="J46" s="13"/>
      <c r="K46" s="13"/>
      <c r="L46" s="13"/>
    </row>
    <row r="47" spans="1:12" x14ac:dyDescent="0.35">
      <c r="A47" s="13"/>
      <c r="B47" s="13"/>
      <c r="C47" s="13"/>
      <c r="D47" s="13"/>
      <c r="E47" s="13"/>
      <c r="F47" s="13"/>
      <c r="G47" s="13"/>
      <c r="I47" s="13"/>
      <c r="J47" s="13"/>
      <c r="K47" s="13"/>
      <c r="L47" s="13"/>
    </row>
    <row r="48" spans="1:12" x14ac:dyDescent="0.35">
      <c r="A48" s="13"/>
      <c r="B48" s="13"/>
      <c r="C48" s="13"/>
      <c r="D48" s="13"/>
      <c r="E48" s="13"/>
      <c r="F48" s="13"/>
      <c r="G48" s="13"/>
      <c r="I48" s="13"/>
      <c r="J48" s="13"/>
      <c r="K48" s="13"/>
      <c r="L48" s="13"/>
    </row>
    <row r="49" spans="1:12" x14ac:dyDescent="0.35">
      <c r="A49" s="13"/>
      <c r="B49" s="13"/>
      <c r="C49" s="13"/>
      <c r="D49" s="13"/>
      <c r="E49" s="13"/>
      <c r="F49" s="13"/>
      <c r="G49" s="13"/>
      <c r="I49" s="13"/>
      <c r="J49" s="13"/>
      <c r="K49" s="13"/>
      <c r="L49" s="13"/>
    </row>
    <row r="50" spans="1:12" x14ac:dyDescent="0.35">
      <c r="A50" s="13"/>
      <c r="B50" s="13"/>
      <c r="C50" s="13"/>
      <c r="D50" s="13"/>
      <c r="E50" s="13"/>
      <c r="F50" s="13"/>
      <c r="G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I62" s="13"/>
      <c r="J62" s="13"/>
      <c r="K62" s="13"/>
      <c r="L62" s="13"/>
    </row>
  </sheetData>
  <mergeCells count="291">
    <mergeCell ref="A62:B62"/>
    <mergeCell ref="C62:D62"/>
    <mergeCell ref="E62:G62"/>
    <mergeCell ref="I62:J62"/>
    <mergeCell ref="K62:L62"/>
    <mergeCell ref="H3:J3"/>
    <mergeCell ref="H4:J4"/>
    <mergeCell ref="H5:J5"/>
    <mergeCell ref="A60:B60"/>
    <mergeCell ref="C60:D60"/>
    <mergeCell ref="E60:G60"/>
    <mergeCell ref="I60:J60"/>
    <mergeCell ref="K60:L60"/>
    <mergeCell ref="A61:B61"/>
    <mergeCell ref="C61:D61"/>
    <mergeCell ref="E61:G61"/>
    <mergeCell ref="I61:J61"/>
    <mergeCell ref="K61:L61"/>
    <mergeCell ref="A58:B58"/>
    <mergeCell ref="C58:D58"/>
    <mergeCell ref="E58:G58"/>
    <mergeCell ref="I58:J58"/>
    <mergeCell ref="K58:L58"/>
    <mergeCell ref="A59:B59"/>
    <mergeCell ref="C59:D59"/>
    <mergeCell ref="E59:G59"/>
    <mergeCell ref="I59:J59"/>
    <mergeCell ref="K59:L59"/>
    <mergeCell ref="A56:B56"/>
    <mergeCell ref="C56:D56"/>
    <mergeCell ref="E56:G56"/>
    <mergeCell ref="I56:J56"/>
    <mergeCell ref="K56:L56"/>
    <mergeCell ref="A57:B57"/>
    <mergeCell ref="C57:D57"/>
    <mergeCell ref="E57:G57"/>
    <mergeCell ref="I57:J57"/>
    <mergeCell ref="K57:L57"/>
    <mergeCell ref="A54:B54"/>
    <mergeCell ref="C54:D54"/>
    <mergeCell ref="E54:G54"/>
    <mergeCell ref="I54:J54"/>
    <mergeCell ref="K54:L54"/>
    <mergeCell ref="A55:B55"/>
    <mergeCell ref="C55:D55"/>
    <mergeCell ref="E55:G55"/>
    <mergeCell ref="I55:J55"/>
    <mergeCell ref="K55:L55"/>
    <mergeCell ref="A52:B52"/>
    <mergeCell ref="C52:D52"/>
    <mergeCell ref="E52:G52"/>
    <mergeCell ref="I52:J52"/>
    <mergeCell ref="K52:L52"/>
    <mergeCell ref="A53:B53"/>
    <mergeCell ref="C53:D53"/>
    <mergeCell ref="E53:G53"/>
    <mergeCell ref="I53:J53"/>
    <mergeCell ref="K53:L53"/>
    <mergeCell ref="A50:B50"/>
    <mergeCell ref="C50:D50"/>
    <mergeCell ref="E50:G50"/>
    <mergeCell ref="I50:J50"/>
    <mergeCell ref="K50:L50"/>
    <mergeCell ref="A51:B51"/>
    <mergeCell ref="C51:D51"/>
    <mergeCell ref="E51:G51"/>
    <mergeCell ref="I51:J51"/>
    <mergeCell ref="K51:L51"/>
    <mergeCell ref="A48:B48"/>
    <mergeCell ref="C48:D48"/>
    <mergeCell ref="E48:G48"/>
    <mergeCell ref="I48:J48"/>
    <mergeCell ref="K48:L48"/>
    <mergeCell ref="A49:B49"/>
    <mergeCell ref="C49:D49"/>
    <mergeCell ref="E49:G49"/>
    <mergeCell ref="I49:J49"/>
    <mergeCell ref="K49:L49"/>
    <mergeCell ref="A46:B46"/>
    <mergeCell ref="C46:D46"/>
    <mergeCell ref="E46:G46"/>
    <mergeCell ref="I46:J46"/>
    <mergeCell ref="K46:L46"/>
    <mergeCell ref="A47:B47"/>
    <mergeCell ref="C47:D47"/>
    <mergeCell ref="E47:G47"/>
    <mergeCell ref="I47:J47"/>
    <mergeCell ref="K47:L47"/>
    <mergeCell ref="A44:B44"/>
    <mergeCell ref="C44:D44"/>
    <mergeCell ref="E44:G44"/>
    <mergeCell ref="I44:J44"/>
    <mergeCell ref="K44:L44"/>
    <mergeCell ref="A45:B45"/>
    <mergeCell ref="C45:D45"/>
    <mergeCell ref="E45:G45"/>
    <mergeCell ref="I45:J45"/>
    <mergeCell ref="K45:L45"/>
    <mergeCell ref="A42:B42"/>
    <mergeCell ref="C42:D42"/>
    <mergeCell ref="E42:G42"/>
    <mergeCell ref="I42:J42"/>
    <mergeCell ref="K42:L42"/>
    <mergeCell ref="A43:B43"/>
    <mergeCell ref="C43:D43"/>
    <mergeCell ref="E43:G43"/>
    <mergeCell ref="I43:J43"/>
    <mergeCell ref="K43:L43"/>
    <mergeCell ref="A40:B40"/>
    <mergeCell ref="C40:D40"/>
    <mergeCell ref="E40:G40"/>
    <mergeCell ref="I40:J40"/>
    <mergeCell ref="K40:L40"/>
    <mergeCell ref="A41:B41"/>
    <mergeCell ref="C41:D41"/>
    <mergeCell ref="E41:G41"/>
    <mergeCell ref="I41:J41"/>
    <mergeCell ref="K41:L41"/>
    <mergeCell ref="A38:B38"/>
    <mergeCell ref="C38:D38"/>
    <mergeCell ref="E38:G38"/>
    <mergeCell ref="I38:J38"/>
    <mergeCell ref="K38:L38"/>
    <mergeCell ref="A39:B39"/>
    <mergeCell ref="C39:D39"/>
    <mergeCell ref="E39:G39"/>
    <mergeCell ref="I39:J39"/>
    <mergeCell ref="K39:L39"/>
    <mergeCell ref="A36:B36"/>
    <mergeCell ref="C36:D36"/>
    <mergeCell ref="E36:G36"/>
    <mergeCell ref="I36:J36"/>
    <mergeCell ref="K36:L36"/>
    <mergeCell ref="A37:B37"/>
    <mergeCell ref="C37:D37"/>
    <mergeCell ref="E37:G37"/>
    <mergeCell ref="I37:J37"/>
    <mergeCell ref="K37:L37"/>
    <mergeCell ref="A34:B34"/>
    <mergeCell ref="C34:D34"/>
    <mergeCell ref="E34:G34"/>
    <mergeCell ref="I34:J34"/>
    <mergeCell ref="K34:L34"/>
    <mergeCell ref="A35:B35"/>
    <mergeCell ref="C35:D35"/>
    <mergeCell ref="E35:G35"/>
    <mergeCell ref="I35:J35"/>
    <mergeCell ref="K35:L35"/>
    <mergeCell ref="A32:B32"/>
    <mergeCell ref="C32:D32"/>
    <mergeCell ref="E32:G32"/>
    <mergeCell ref="I32:J32"/>
    <mergeCell ref="K32:L32"/>
    <mergeCell ref="A33:B33"/>
    <mergeCell ref="C33:D33"/>
    <mergeCell ref="E33:G33"/>
    <mergeCell ref="I33:J33"/>
    <mergeCell ref="K33:L33"/>
    <mergeCell ref="A30:B30"/>
    <mergeCell ref="C30:D30"/>
    <mergeCell ref="E30:G30"/>
    <mergeCell ref="I30:J30"/>
    <mergeCell ref="K30:L30"/>
    <mergeCell ref="A31:B31"/>
    <mergeCell ref="C31:D31"/>
    <mergeCell ref="E31:G31"/>
    <mergeCell ref="I31:J31"/>
    <mergeCell ref="K31:L31"/>
    <mergeCell ref="A28:B28"/>
    <mergeCell ref="C28:D28"/>
    <mergeCell ref="E28:G28"/>
    <mergeCell ref="I28:J28"/>
    <mergeCell ref="K28:L28"/>
    <mergeCell ref="A29:B29"/>
    <mergeCell ref="C29:D29"/>
    <mergeCell ref="E29:G29"/>
    <mergeCell ref="I29:J29"/>
    <mergeCell ref="K29:L29"/>
    <mergeCell ref="A26:B26"/>
    <mergeCell ref="C26:D26"/>
    <mergeCell ref="E26:G26"/>
    <mergeCell ref="I26:J26"/>
    <mergeCell ref="K26:L26"/>
    <mergeCell ref="A27:B27"/>
    <mergeCell ref="C27:D27"/>
    <mergeCell ref="E27:G27"/>
    <mergeCell ref="I27:J27"/>
    <mergeCell ref="K27:L27"/>
    <mergeCell ref="A24:B24"/>
    <mergeCell ref="C24:D24"/>
    <mergeCell ref="E24:G24"/>
    <mergeCell ref="I24:J24"/>
    <mergeCell ref="K24:L24"/>
    <mergeCell ref="A25:B25"/>
    <mergeCell ref="C25:D25"/>
    <mergeCell ref="E25:G25"/>
    <mergeCell ref="I25:J25"/>
    <mergeCell ref="K25:L25"/>
    <mergeCell ref="A22:B22"/>
    <mergeCell ref="C22:D22"/>
    <mergeCell ref="E22:G22"/>
    <mergeCell ref="I22:J22"/>
    <mergeCell ref="K22:L22"/>
    <mergeCell ref="A23:B23"/>
    <mergeCell ref="C23:D23"/>
    <mergeCell ref="E23:G23"/>
    <mergeCell ref="I23:J23"/>
    <mergeCell ref="K23:L23"/>
    <mergeCell ref="A20:B20"/>
    <mergeCell ref="C20:D20"/>
    <mergeCell ref="E20:G20"/>
    <mergeCell ref="I20:J20"/>
    <mergeCell ref="K20:L20"/>
    <mergeCell ref="A21:B21"/>
    <mergeCell ref="C21:D21"/>
    <mergeCell ref="E21:G21"/>
    <mergeCell ref="I21:J21"/>
    <mergeCell ref="K21:L21"/>
    <mergeCell ref="A18:B18"/>
    <mergeCell ref="C18:D18"/>
    <mergeCell ref="E18:G18"/>
    <mergeCell ref="I18:J18"/>
    <mergeCell ref="K18:L18"/>
    <mergeCell ref="A19:B19"/>
    <mergeCell ref="C19:D19"/>
    <mergeCell ref="E19:G19"/>
    <mergeCell ref="I19:J19"/>
    <mergeCell ref="K19:L19"/>
    <mergeCell ref="A16:B16"/>
    <mergeCell ref="C16:D16"/>
    <mergeCell ref="E16:G16"/>
    <mergeCell ref="I16:J16"/>
    <mergeCell ref="K16:L16"/>
    <mergeCell ref="A17:B17"/>
    <mergeCell ref="C17:D17"/>
    <mergeCell ref="E17:G17"/>
    <mergeCell ref="I17:J17"/>
    <mergeCell ref="K17:L17"/>
    <mergeCell ref="A14:B14"/>
    <mergeCell ref="C14:D14"/>
    <mergeCell ref="E14:G14"/>
    <mergeCell ref="I14:J14"/>
    <mergeCell ref="K14:L14"/>
    <mergeCell ref="A15:B15"/>
    <mergeCell ref="C15:D15"/>
    <mergeCell ref="E15:G15"/>
    <mergeCell ref="I15:J15"/>
    <mergeCell ref="K15:L15"/>
    <mergeCell ref="A12:B12"/>
    <mergeCell ref="C12:D12"/>
    <mergeCell ref="E12:G12"/>
    <mergeCell ref="I12:J12"/>
    <mergeCell ref="K12:L12"/>
    <mergeCell ref="A13:B13"/>
    <mergeCell ref="C13:D13"/>
    <mergeCell ref="E13:G13"/>
    <mergeCell ref="I13:J13"/>
    <mergeCell ref="K13:L13"/>
    <mergeCell ref="A10:B10"/>
    <mergeCell ref="C10:D10"/>
    <mergeCell ref="E10:G10"/>
    <mergeCell ref="I10:J10"/>
    <mergeCell ref="K10:L10"/>
    <mergeCell ref="A11:B11"/>
    <mergeCell ref="C11:D11"/>
    <mergeCell ref="E11:G11"/>
    <mergeCell ref="I11:J11"/>
    <mergeCell ref="K11:L11"/>
    <mergeCell ref="A6:L6"/>
    <mergeCell ref="A7:B7"/>
    <mergeCell ref="C7:L7"/>
    <mergeCell ref="A8:L8"/>
    <mergeCell ref="A9:B9"/>
    <mergeCell ref="C9:D9"/>
    <mergeCell ref="E9:G9"/>
    <mergeCell ref="I9:J9"/>
    <mergeCell ref="K9:L9"/>
    <mergeCell ref="A4:B4"/>
    <mergeCell ref="C4:D4"/>
    <mergeCell ref="E4:G4"/>
    <mergeCell ref="K4:L4"/>
    <mergeCell ref="A5:B5"/>
    <mergeCell ref="C5:D5"/>
    <mergeCell ref="E5:G5"/>
    <mergeCell ref="K5:L5"/>
    <mergeCell ref="A1:L1"/>
    <mergeCell ref="A2:L2"/>
    <mergeCell ref="A3:B3"/>
    <mergeCell ref="C3:D3"/>
    <mergeCell ref="E3:G3"/>
    <mergeCell ref="K3:L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0F75-ADB1-4B33-A00F-E9A1763C0D4C}">
  <dimension ref="A1:AB74"/>
  <sheetViews>
    <sheetView zoomScale="80" zoomScaleNormal="100" workbookViewId="0">
      <selection activeCell="Q4" sqref="Q4:S16"/>
    </sheetView>
  </sheetViews>
  <sheetFormatPr defaultRowHeight="14.5" x14ac:dyDescent="0.35"/>
  <cols>
    <col min="9" max="10" width="3.36328125" customWidth="1"/>
    <col min="11" max="11" width="12.36328125" customWidth="1"/>
    <col min="12" max="12" width="11.453125" bestFit="1" customWidth="1"/>
  </cols>
  <sheetData>
    <row r="1" spans="1:28" ht="17.5" thickBot="1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18" thickTop="1" thickBot="1" x14ac:dyDescent="0.4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77"/>
      <c r="P2" s="77"/>
      <c r="Q2" s="26"/>
      <c r="R2" s="26"/>
      <c r="S2" s="26"/>
      <c r="T2" s="26"/>
      <c r="U2" s="26"/>
      <c r="V2" s="26"/>
      <c r="W2" s="26"/>
      <c r="X2" s="26"/>
      <c r="Y2" s="26"/>
    </row>
    <row r="3" spans="1:28" ht="15" thickTop="1" x14ac:dyDescent="0.35">
      <c r="A3" s="28" t="s">
        <v>91</v>
      </c>
      <c r="B3" s="29"/>
      <c r="C3" s="49" t="s">
        <v>90</v>
      </c>
      <c r="D3" s="50"/>
      <c r="E3" s="28" t="s">
        <v>92</v>
      </c>
      <c r="F3" s="29"/>
      <c r="G3" s="49" t="s">
        <v>88</v>
      </c>
      <c r="H3" s="51"/>
      <c r="I3" s="50"/>
      <c r="J3" s="28" t="s">
        <v>93</v>
      </c>
      <c r="K3" s="29"/>
      <c r="L3" s="49" t="s">
        <v>85</v>
      </c>
      <c r="M3" s="51"/>
      <c r="N3" s="51"/>
      <c r="O3" s="91" t="s">
        <v>96</v>
      </c>
      <c r="P3" s="92"/>
      <c r="Q3" s="71" t="s">
        <v>86</v>
      </c>
      <c r="R3" s="71"/>
      <c r="S3" s="72"/>
      <c r="T3" s="76" t="s">
        <v>87</v>
      </c>
      <c r="U3" s="71"/>
      <c r="V3" s="72"/>
      <c r="W3" s="76" t="s">
        <v>89</v>
      </c>
      <c r="X3" s="71"/>
      <c r="Y3" s="71"/>
      <c r="Z3" s="76" t="s">
        <v>103</v>
      </c>
      <c r="AA3" s="71"/>
      <c r="AB3" s="71"/>
    </row>
    <row r="4" spans="1:28" x14ac:dyDescent="0.35">
      <c r="A4" s="28">
        <v>46031</v>
      </c>
      <c r="B4" s="17"/>
      <c r="C4" s="15">
        <f>'Sales '!H4</f>
        <v>12000</v>
      </c>
      <c r="D4" s="31"/>
      <c r="E4" s="28" t="s">
        <v>94</v>
      </c>
      <c r="F4" s="29"/>
      <c r="G4" s="61">
        <v>0</v>
      </c>
      <c r="H4" s="62"/>
      <c r="I4" s="62"/>
      <c r="J4" s="38" t="s">
        <v>94</v>
      </c>
      <c r="K4" s="39"/>
      <c r="L4" s="65">
        <v>0</v>
      </c>
      <c r="M4" s="65"/>
      <c r="N4" s="65"/>
      <c r="O4" s="93" t="s">
        <v>94</v>
      </c>
      <c r="P4" s="94"/>
      <c r="Q4" s="39" t="s">
        <v>94</v>
      </c>
      <c r="R4" s="39"/>
      <c r="S4" s="40"/>
      <c r="T4" s="61">
        <v>12000</v>
      </c>
      <c r="U4" s="62"/>
      <c r="V4" s="88"/>
      <c r="W4" s="61">
        <v>12000</v>
      </c>
      <c r="X4" s="62"/>
      <c r="Y4" s="62"/>
      <c r="Z4" s="61">
        <f>C4-G5-L5</f>
        <v>1500</v>
      </c>
      <c r="AA4" s="62"/>
      <c r="AB4" s="62"/>
    </row>
    <row r="5" spans="1:28" x14ac:dyDescent="0.35">
      <c r="A5" s="27" t="s">
        <v>94</v>
      </c>
      <c r="B5" s="17"/>
      <c r="C5" s="15">
        <v>0</v>
      </c>
      <c r="D5" s="52"/>
      <c r="E5" s="59" t="s">
        <v>95</v>
      </c>
      <c r="F5" s="60"/>
      <c r="G5" s="56">
        <v>8000</v>
      </c>
      <c r="H5" s="57"/>
      <c r="I5" s="58"/>
      <c r="J5" s="28">
        <v>46243</v>
      </c>
      <c r="K5" s="29"/>
      <c r="L5" s="18">
        <v>2500</v>
      </c>
      <c r="M5" s="54"/>
      <c r="N5" s="55"/>
      <c r="O5" s="89" t="s">
        <v>21</v>
      </c>
      <c r="P5" s="90"/>
      <c r="Q5" s="73">
        <f>SUM(G5,L5)</f>
        <v>10500</v>
      </c>
      <c r="R5" s="74"/>
      <c r="S5" s="75"/>
      <c r="T5" s="73">
        <f>C5-Q5</f>
        <v>-10500</v>
      </c>
      <c r="U5" s="74"/>
      <c r="V5" s="74"/>
      <c r="W5" s="61">
        <v>1500</v>
      </c>
      <c r="X5" s="62"/>
      <c r="Y5" s="62"/>
      <c r="Z5" s="61" t="s">
        <v>97</v>
      </c>
      <c r="AA5" s="62"/>
      <c r="AB5" s="62"/>
    </row>
    <row r="6" spans="1:28" x14ac:dyDescent="0.35">
      <c r="A6" s="27" t="s">
        <v>94</v>
      </c>
      <c r="B6" s="17"/>
      <c r="C6" s="15">
        <v>0</v>
      </c>
      <c r="D6" s="52"/>
      <c r="E6" s="59" t="str">
        <f>Purchases!I5</f>
        <v>22/09/26</v>
      </c>
      <c r="F6" s="60"/>
      <c r="G6" s="56">
        <v>6500</v>
      </c>
      <c r="H6" s="57"/>
      <c r="I6" s="58"/>
      <c r="J6" s="28">
        <v>46032</v>
      </c>
      <c r="K6" s="29"/>
      <c r="L6" s="18">
        <v>15000</v>
      </c>
      <c r="M6" s="54"/>
      <c r="N6" s="55"/>
      <c r="O6" s="32" t="s">
        <v>54</v>
      </c>
      <c r="P6" s="33"/>
      <c r="Q6" s="73">
        <f t="shared" ref="Q6:Q16" si="0">SUM(G6,L6)</f>
        <v>21500</v>
      </c>
      <c r="R6" s="74"/>
      <c r="S6" s="75"/>
      <c r="T6" s="73">
        <f>C6-Q6</f>
        <v>-21500</v>
      </c>
      <c r="U6" s="74"/>
      <c r="V6" s="74"/>
      <c r="W6" s="61">
        <v>-20000</v>
      </c>
      <c r="X6" s="62"/>
      <c r="Y6" s="62"/>
      <c r="Z6" s="61" t="s">
        <v>97</v>
      </c>
      <c r="AA6" s="62"/>
      <c r="AB6" s="62"/>
    </row>
    <row r="7" spans="1:28" x14ac:dyDescent="0.35">
      <c r="A7" s="27" t="s">
        <v>94</v>
      </c>
      <c r="B7" s="17"/>
      <c r="C7" s="15">
        <v>0</v>
      </c>
      <c r="D7" s="52"/>
      <c r="E7" s="59" t="str">
        <f>Purchases!I6</f>
        <v>30/09/26</v>
      </c>
      <c r="F7" s="60"/>
      <c r="G7" s="56">
        <v>12000</v>
      </c>
      <c r="H7" s="57"/>
      <c r="I7" s="58"/>
      <c r="J7" s="28" t="s">
        <v>98</v>
      </c>
      <c r="K7" s="29"/>
      <c r="L7" s="95">
        <v>20000</v>
      </c>
      <c r="M7" s="96"/>
      <c r="N7" s="97"/>
      <c r="O7" s="32" t="s">
        <v>54</v>
      </c>
      <c r="P7" s="33"/>
      <c r="Q7" s="73">
        <f t="shared" si="0"/>
        <v>32000</v>
      </c>
      <c r="R7" s="74"/>
      <c r="S7" s="75"/>
      <c r="T7" s="73">
        <f>C7-Q7</f>
        <v>-32000</v>
      </c>
      <c r="U7" s="74"/>
      <c r="V7" s="74"/>
      <c r="W7" s="61">
        <v>-52000</v>
      </c>
      <c r="X7" s="62"/>
      <c r="Y7" s="62"/>
      <c r="Z7" s="61" t="s">
        <v>97</v>
      </c>
      <c r="AA7" s="62"/>
      <c r="AB7" s="62"/>
    </row>
    <row r="8" spans="1:28" x14ac:dyDescent="0.35">
      <c r="A8" s="27" t="s">
        <v>94</v>
      </c>
      <c r="B8" s="17"/>
      <c r="C8" s="15">
        <v>0</v>
      </c>
      <c r="D8" s="52"/>
      <c r="E8" s="28">
        <v>46152</v>
      </c>
      <c r="F8" s="30"/>
      <c r="G8" s="56">
        <v>4000</v>
      </c>
      <c r="H8" s="57"/>
      <c r="I8" s="58"/>
      <c r="J8" s="18" t="s">
        <v>99</v>
      </c>
      <c r="K8" s="55"/>
      <c r="L8" s="98">
        <v>3000</v>
      </c>
      <c r="M8" s="99"/>
      <c r="N8" s="100"/>
      <c r="O8" s="32" t="s">
        <v>54</v>
      </c>
      <c r="P8" s="33"/>
      <c r="Q8" s="73">
        <f t="shared" si="0"/>
        <v>7000</v>
      </c>
      <c r="R8" s="74"/>
      <c r="S8" s="75"/>
      <c r="T8" s="73">
        <f>C8-Q8</f>
        <v>-7000</v>
      </c>
      <c r="U8" s="74"/>
      <c r="V8" s="74"/>
      <c r="W8" s="61">
        <v>-59000</v>
      </c>
      <c r="X8" s="62"/>
      <c r="Y8" s="62"/>
      <c r="Z8" s="61" t="s">
        <v>97</v>
      </c>
      <c r="AA8" s="62"/>
      <c r="AB8" s="62"/>
    </row>
    <row r="9" spans="1:28" x14ac:dyDescent="0.35">
      <c r="A9" s="27" t="s">
        <v>94</v>
      </c>
      <c r="B9" s="17"/>
      <c r="C9" s="15">
        <v>0</v>
      </c>
      <c r="D9" s="52"/>
      <c r="E9" s="63">
        <f>Purchases!I8</f>
        <v>46290</v>
      </c>
      <c r="F9" s="64"/>
      <c r="G9" s="56">
        <v>5500</v>
      </c>
      <c r="H9" s="57"/>
      <c r="I9" s="58"/>
      <c r="J9" s="18" t="s">
        <v>99</v>
      </c>
      <c r="K9" s="55"/>
      <c r="L9" s="18">
        <v>1200</v>
      </c>
      <c r="M9" s="54"/>
      <c r="N9" s="55"/>
      <c r="O9" s="32" t="s">
        <v>54</v>
      </c>
      <c r="P9" s="33"/>
      <c r="Q9" s="73">
        <f t="shared" si="0"/>
        <v>6700</v>
      </c>
      <c r="R9" s="74"/>
      <c r="S9" s="75"/>
      <c r="T9" s="73">
        <v>-6700</v>
      </c>
      <c r="U9" s="74"/>
      <c r="V9" s="74"/>
      <c r="W9" s="61">
        <f>SUM(W8,T9)</f>
        <v>-65700</v>
      </c>
      <c r="X9" s="62"/>
      <c r="Y9" s="62"/>
      <c r="Z9" s="61" t="s">
        <v>97</v>
      </c>
      <c r="AA9" s="62"/>
      <c r="AB9" s="62"/>
    </row>
    <row r="10" spans="1:28" x14ac:dyDescent="0.35">
      <c r="A10" s="27" t="s">
        <v>94</v>
      </c>
      <c r="B10" s="17"/>
      <c r="C10" s="15">
        <v>0</v>
      </c>
      <c r="D10" s="52"/>
      <c r="E10" s="63">
        <f>Purchases!I9</f>
        <v>46293</v>
      </c>
      <c r="F10" s="64"/>
      <c r="G10" s="56">
        <v>3500</v>
      </c>
      <c r="H10" s="57"/>
      <c r="I10" s="58"/>
      <c r="J10" s="18" t="s">
        <v>100</v>
      </c>
      <c r="K10" s="54"/>
      <c r="L10" s="18">
        <v>800</v>
      </c>
      <c r="M10" s="54"/>
      <c r="N10" s="55"/>
      <c r="O10" s="32" t="s">
        <v>54</v>
      </c>
      <c r="P10" s="33"/>
      <c r="Q10" s="73">
        <f t="shared" si="0"/>
        <v>4300</v>
      </c>
      <c r="R10" s="74"/>
      <c r="S10" s="75"/>
      <c r="T10" s="73">
        <v>-4300</v>
      </c>
      <c r="U10" s="74"/>
      <c r="V10" s="74"/>
      <c r="W10" s="61">
        <f t="shared" ref="W10:W16" si="1">SUM(W9,T10)</f>
        <v>-70000</v>
      </c>
      <c r="X10" s="62"/>
      <c r="Y10" s="62"/>
      <c r="Z10" s="61" t="s">
        <v>97</v>
      </c>
      <c r="AA10" s="62"/>
      <c r="AB10" s="62"/>
    </row>
    <row r="11" spans="1:28" x14ac:dyDescent="0.35">
      <c r="A11" s="27" t="s">
        <v>94</v>
      </c>
      <c r="B11" s="17"/>
      <c r="C11" s="15">
        <v>0</v>
      </c>
      <c r="D11" s="52"/>
      <c r="E11" s="63">
        <f>Purchases!I10</f>
        <v>46297</v>
      </c>
      <c r="F11" s="64"/>
      <c r="G11" s="56">
        <v>7000</v>
      </c>
      <c r="H11" s="57"/>
      <c r="I11" s="58"/>
      <c r="J11" s="28" t="s">
        <v>102</v>
      </c>
      <c r="K11" s="29"/>
      <c r="L11" s="18">
        <v>4000</v>
      </c>
      <c r="M11" s="54"/>
      <c r="N11" s="55"/>
      <c r="O11" s="32" t="s">
        <v>54</v>
      </c>
      <c r="P11" s="33"/>
      <c r="Q11" s="73">
        <f t="shared" si="0"/>
        <v>11000</v>
      </c>
      <c r="R11" s="74"/>
      <c r="S11" s="75"/>
      <c r="T11" s="86">
        <v>-11000</v>
      </c>
      <c r="U11" s="87"/>
      <c r="V11" s="87"/>
      <c r="W11" s="61">
        <f t="shared" si="1"/>
        <v>-81000</v>
      </c>
      <c r="X11" s="62"/>
      <c r="Y11" s="62"/>
      <c r="Z11" s="61" t="s">
        <v>97</v>
      </c>
      <c r="AA11" s="62"/>
      <c r="AB11" s="62"/>
    </row>
    <row r="12" spans="1:28" ht="13.5" customHeight="1" x14ac:dyDescent="0.35">
      <c r="A12" s="27" t="s">
        <v>94</v>
      </c>
      <c r="B12" s="17"/>
      <c r="C12" s="15">
        <v>0</v>
      </c>
      <c r="D12" s="52"/>
      <c r="E12" s="63" t="str">
        <f>Purchases!I11</f>
        <v>30/09/26</v>
      </c>
      <c r="F12" s="64"/>
      <c r="G12" s="56">
        <v>2800</v>
      </c>
      <c r="H12" s="57"/>
      <c r="I12" s="58"/>
      <c r="J12" s="28" t="s">
        <v>101</v>
      </c>
      <c r="K12" s="29"/>
      <c r="L12" s="18">
        <v>2000</v>
      </c>
      <c r="M12" s="54"/>
      <c r="N12" s="55"/>
      <c r="O12" s="32" t="s">
        <v>54</v>
      </c>
      <c r="P12" s="33"/>
      <c r="Q12" s="73">
        <f t="shared" si="0"/>
        <v>4800</v>
      </c>
      <c r="R12" s="74"/>
      <c r="S12" s="75"/>
      <c r="T12" s="73">
        <v>-4800</v>
      </c>
      <c r="U12" s="74"/>
      <c r="V12" s="74"/>
      <c r="W12" s="61">
        <f t="shared" si="1"/>
        <v>-85800</v>
      </c>
      <c r="X12" s="62"/>
      <c r="Y12" s="62"/>
      <c r="Z12" s="61" t="s">
        <v>97</v>
      </c>
      <c r="AA12" s="62"/>
      <c r="AB12" s="62"/>
    </row>
    <row r="13" spans="1:28" x14ac:dyDescent="0.35">
      <c r="A13" s="27" t="s">
        <v>94</v>
      </c>
      <c r="B13" s="17"/>
      <c r="C13" s="15">
        <v>0</v>
      </c>
      <c r="D13" s="52"/>
      <c r="E13" s="63">
        <f>Purchases!I12</f>
        <v>46305</v>
      </c>
      <c r="F13" s="64"/>
      <c r="G13" s="56">
        <v>9000</v>
      </c>
      <c r="H13" s="57"/>
      <c r="I13" s="58"/>
      <c r="J13" s="28" t="s">
        <v>102</v>
      </c>
      <c r="K13" s="29"/>
      <c r="L13" s="18">
        <v>1500</v>
      </c>
      <c r="M13" s="54"/>
      <c r="N13" s="55"/>
      <c r="O13" s="32" t="s">
        <v>54</v>
      </c>
      <c r="P13" s="33"/>
      <c r="Q13" s="73">
        <f t="shared" si="0"/>
        <v>10500</v>
      </c>
      <c r="R13" s="74"/>
      <c r="S13" s="75"/>
      <c r="T13" s="73">
        <v>-10500</v>
      </c>
      <c r="U13" s="74"/>
      <c r="V13" s="74"/>
      <c r="W13" s="61">
        <f t="shared" si="1"/>
        <v>-96300</v>
      </c>
      <c r="X13" s="62"/>
      <c r="Y13" s="62"/>
      <c r="Z13" s="61" t="s">
        <v>97</v>
      </c>
      <c r="AA13" s="62"/>
      <c r="AB13" s="62"/>
    </row>
    <row r="14" spans="1:28" x14ac:dyDescent="0.35">
      <c r="A14" s="27" t="s">
        <v>94</v>
      </c>
      <c r="B14" s="17"/>
      <c r="C14" s="15">
        <v>0</v>
      </c>
      <c r="D14" s="52"/>
      <c r="E14" s="63" t="str">
        <f>Purchases!I13</f>
        <v>15/10/26</v>
      </c>
      <c r="F14" s="64"/>
      <c r="G14" s="56">
        <v>6000</v>
      </c>
      <c r="H14" s="57"/>
      <c r="I14" s="58"/>
      <c r="J14" s="28" t="s">
        <v>102</v>
      </c>
      <c r="K14" s="29"/>
      <c r="L14" s="18">
        <v>1000</v>
      </c>
      <c r="M14" s="54"/>
      <c r="N14" s="55"/>
      <c r="O14" s="32" t="s">
        <v>54</v>
      </c>
      <c r="P14" s="33"/>
      <c r="Q14" s="73">
        <f t="shared" si="0"/>
        <v>7000</v>
      </c>
      <c r="R14" s="74"/>
      <c r="S14" s="75"/>
      <c r="T14" s="73">
        <v>-7000</v>
      </c>
      <c r="U14" s="74"/>
      <c r="V14" s="74"/>
      <c r="W14" s="61">
        <f t="shared" si="1"/>
        <v>-103300</v>
      </c>
      <c r="X14" s="62"/>
      <c r="Y14" s="62"/>
      <c r="Z14" s="61" t="s">
        <v>97</v>
      </c>
      <c r="AA14" s="62"/>
      <c r="AB14" s="62"/>
    </row>
    <row r="15" spans="1:28" x14ac:dyDescent="0.35">
      <c r="A15" s="27" t="s">
        <v>94</v>
      </c>
      <c r="B15" s="17"/>
      <c r="C15" s="15">
        <v>0</v>
      </c>
      <c r="D15" s="52"/>
      <c r="E15" s="28">
        <v>46152</v>
      </c>
      <c r="F15" s="30"/>
      <c r="G15" s="15">
        <v>3200</v>
      </c>
      <c r="H15" s="52"/>
      <c r="I15" s="31"/>
      <c r="J15" s="18" t="s">
        <v>94</v>
      </c>
      <c r="K15" s="55"/>
      <c r="L15" s="18">
        <v>0</v>
      </c>
      <c r="M15" s="54"/>
      <c r="N15" s="55"/>
      <c r="O15" s="32" t="s">
        <v>97</v>
      </c>
      <c r="P15" s="33"/>
      <c r="Q15" s="73">
        <f t="shared" si="0"/>
        <v>3200</v>
      </c>
      <c r="R15" s="74"/>
      <c r="S15" s="74"/>
      <c r="T15" s="73">
        <v>-3200</v>
      </c>
      <c r="U15" s="74"/>
      <c r="V15" s="74"/>
      <c r="W15" s="61">
        <f t="shared" si="1"/>
        <v>-106500</v>
      </c>
      <c r="X15" s="62"/>
      <c r="Y15" s="62"/>
      <c r="Z15" s="61" t="s">
        <v>97</v>
      </c>
      <c r="AA15" s="62"/>
      <c r="AB15" s="62"/>
    </row>
    <row r="16" spans="1:28" x14ac:dyDescent="0.35">
      <c r="A16" s="27" t="s">
        <v>94</v>
      </c>
      <c r="B16" s="17"/>
      <c r="C16" s="15">
        <v>0</v>
      </c>
      <c r="D16" s="52"/>
      <c r="E16" s="63" t="s">
        <v>53</v>
      </c>
      <c r="F16" s="64"/>
      <c r="G16" s="15">
        <v>7500</v>
      </c>
      <c r="H16" s="52"/>
      <c r="I16" s="31"/>
      <c r="J16" s="18" t="s">
        <v>94</v>
      </c>
      <c r="K16" s="55"/>
      <c r="L16" s="18">
        <v>0</v>
      </c>
      <c r="M16" s="54"/>
      <c r="N16" s="55"/>
      <c r="O16" s="89" t="s">
        <v>97</v>
      </c>
      <c r="P16" s="90"/>
      <c r="Q16" s="73">
        <f t="shared" si="0"/>
        <v>7500</v>
      </c>
      <c r="R16" s="74"/>
      <c r="S16" s="74"/>
      <c r="T16" s="101">
        <f>--7500</f>
        <v>7500</v>
      </c>
      <c r="U16" s="102"/>
      <c r="V16" s="102"/>
      <c r="W16" s="61">
        <f t="shared" si="1"/>
        <v>-99000</v>
      </c>
      <c r="X16" s="62"/>
      <c r="Y16" s="62"/>
      <c r="Z16" s="61" t="s">
        <v>97</v>
      </c>
      <c r="AA16" s="62"/>
      <c r="AB16" s="62"/>
    </row>
    <row r="17" spans="1:28" x14ac:dyDescent="0.35">
      <c r="A17" s="41"/>
      <c r="B17" s="42"/>
      <c r="C17" s="43"/>
      <c r="D17" s="42"/>
      <c r="E17" s="9"/>
      <c r="F17" s="9"/>
      <c r="G17" s="44"/>
      <c r="H17" s="45"/>
      <c r="I17" s="46"/>
      <c r="J17" s="44"/>
      <c r="K17" s="46"/>
      <c r="L17" s="66"/>
      <c r="M17" s="67"/>
      <c r="N17" s="68"/>
      <c r="O17" s="8"/>
      <c r="P17" s="8"/>
      <c r="Q17" s="8"/>
      <c r="R17" s="8"/>
      <c r="S17" s="8"/>
      <c r="T17" s="8"/>
      <c r="U17" s="8"/>
      <c r="V17" s="8"/>
      <c r="W17" s="69"/>
      <c r="X17" s="70"/>
      <c r="Y17" s="70"/>
      <c r="Z17" s="69"/>
      <c r="AA17" s="70"/>
      <c r="AB17" s="70"/>
    </row>
    <row r="18" spans="1:28" x14ac:dyDescent="0.3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80"/>
      <c r="Z18" s="78"/>
      <c r="AA18" s="79"/>
      <c r="AB18" s="79"/>
    </row>
    <row r="19" spans="1:28" x14ac:dyDescent="0.35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4"/>
      <c r="AA19" s="85"/>
      <c r="AB19" s="85"/>
    </row>
    <row r="20" spans="1:28" x14ac:dyDescent="0.35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  <c r="Z20" s="81"/>
      <c r="AA20" s="82"/>
      <c r="AB20" s="82"/>
    </row>
    <row r="21" spans="1:28" x14ac:dyDescent="0.35">
      <c r="A21" s="13"/>
      <c r="B21" s="13"/>
      <c r="C21" s="13"/>
      <c r="D21" s="13"/>
      <c r="E21" s="7"/>
      <c r="F21" s="7"/>
      <c r="G21" s="13"/>
      <c r="H21" s="13"/>
      <c r="I21" s="13"/>
      <c r="J21" s="7"/>
      <c r="K21" s="7"/>
      <c r="M21" s="13"/>
      <c r="N21" s="1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8" x14ac:dyDescent="0.35">
      <c r="A22" s="13"/>
      <c r="B22" s="13"/>
      <c r="C22" s="13"/>
      <c r="D22" s="13"/>
      <c r="E22" s="7"/>
      <c r="F22" s="7"/>
      <c r="G22" s="13"/>
      <c r="H22" s="13"/>
      <c r="I22" s="13"/>
      <c r="J22" s="7"/>
      <c r="K22" s="7"/>
      <c r="M22" s="13"/>
      <c r="N22" s="1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x14ac:dyDescent="0.35">
      <c r="A23" s="13"/>
      <c r="B23" s="13"/>
      <c r="C23" s="13"/>
      <c r="D23" s="13"/>
      <c r="E23" s="7"/>
      <c r="F23" s="7"/>
      <c r="G23" s="13"/>
      <c r="H23" s="13"/>
      <c r="I23" s="13"/>
      <c r="J23" s="7"/>
      <c r="K23" s="7"/>
      <c r="M23" s="13"/>
      <c r="N23" s="1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x14ac:dyDescent="0.35">
      <c r="A24" s="13"/>
      <c r="B24" s="13"/>
      <c r="C24" s="13"/>
      <c r="D24" s="13"/>
      <c r="E24" s="7"/>
      <c r="F24" s="7"/>
      <c r="G24" s="13"/>
      <c r="H24" s="13"/>
      <c r="I24" s="13"/>
      <c r="J24" s="7"/>
      <c r="K24" s="7"/>
      <c r="M24" s="13"/>
      <c r="N24" s="1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x14ac:dyDescent="0.35">
      <c r="A25" s="13"/>
      <c r="B25" s="13"/>
      <c r="C25" s="13"/>
      <c r="D25" s="13"/>
      <c r="E25" s="7"/>
      <c r="F25" s="7"/>
      <c r="G25" s="13"/>
      <c r="H25" s="13"/>
      <c r="I25" s="13"/>
      <c r="J25" s="7"/>
      <c r="K25" s="7"/>
      <c r="M25" s="13"/>
      <c r="N25" s="1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8" x14ac:dyDescent="0.35">
      <c r="A26" s="13"/>
      <c r="B26" s="13"/>
      <c r="C26" s="13"/>
      <c r="D26" s="13"/>
      <c r="E26" s="7"/>
      <c r="F26" s="7"/>
      <c r="G26" s="13"/>
      <c r="H26" s="13"/>
      <c r="I26" s="13"/>
      <c r="J26" s="7"/>
      <c r="K26" s="7"/>
      <c r="M26" s="13"/>
      <c r="N26" s="1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x14ac:dyDescent="0.35">
      <c r="A27" s="13"/>
      <c r="B27" s="13"/>
      <c r="C27" s="13"/>
      <c r="D27" s="13"/>
      <c r="E27" s="7"/>
      <c r="F27" s="7"/>
      <c r="G27" s="13"/>
      <c r="H27" s="13"/>
      <c r="I27" s="13"/>
      <c r="J27" s="7"/>
      <c r="K27" s="7"/>
      <c r="M27" s="13"/>
      <c r="N27" s="1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8" x14ac:dyDescent="0.35">
      <c r="A28" s="13"/>
      <c r="B28" s="13"/>
      <c r="C28" s="13"/>
      <c r="D28" s="13"/>
      <c r="E28" s="7"/>
      <c r="F28" s="7"/>
      <c r="G28" s="13"/>
      <c r="H28" s="13"/>
      <c r="I28" s="13"/>
      <c r="J28" s="7"/>
      <c r="K28" s="7"/>
      <c r="M28" s="13"/>
      <c r="N28" s="13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8" x14ac:dyDescent="0.35">
      <c r="A29" s="13"/>
      <c r="B29" s="13"/>
      <c r="C29" s="13"/>
      <c r="D29" s="13"/>
      <c r="E29" s="7"/>
      <c r="F29" s="7"/>
      <c r="G29" s="13"/>
      <c r="H29" s="13"/>
      <c r="I29" s="13"/>
      <c r="J29" s="7"/>
      <c r="K29" s="7"/>
      <c r="M29" s="13"/>
      <c r="N29" s="13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8" x14ac:dyDescent="0.35">
      <c r="A30" s="13"/>
      <c r="B30" s="13"/>
      <c r="C30" s="13"/>
      <c r="D30" s="13"/>
      <c r="E30" s="7"/>
      <c r="F30" s="7"/>
      <c r="G30" s="13"/>
      <c r="H30" s="13"/>
      <c r="I30" s="13"/>
      <c r="J30" s="7"/>
      <c r="K30" s="7"/>
      <c r="M30" s="13"/>
      <c r="N30" s="1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8" x14ac:dyDescent="0.35">
      <c r="A31" s="13"/>
      <c r="B31" s="13"/>
      <c r="C31" s="13"/>
      <c r="D31" s="13"/>
      <c r="E31" s="7"/>
      <c r="F31" s="7"/>
      <c r="G31" s="13"/>
      <c r="H31" s="13"/>
      <c r="I31" s="13"/>
      <c r="J31" s="7"/>
      <c r="K31" s="7"/>
      <c r="M31" s="13"/>
      <c r="N31" s="1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8" x14ac:dyDescent="0.35">
      <c r="A32" s="13"/>
      <c r="B32" s="13"/>
      <c r="C32" s="13"/>
      <c r="D32" s="13"/>
      <c r="E32" s="7"/>
      <c r="F32" s="7"/>
      <c r="G32" s="13"/>
      <c r="H32" s="13"/>
      <c r="I32" s="13"/>
      <c r="J32" s="7"/>
      <c r="K32" s="7"/>
      <c r="M32" s="13"/>
      <c r="N32" s="1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5">
      <c r="A33" s="13"/>
      <c r="B33" s="13"/>
      <c r="C33" s="13"/>
      <c r="D33" s="13"/>
      <c r="E33" s="7"/>
      <c r="F33" s="7"/>
      <c r="G33" s="13"/>
      <c r="H33" s="13"/>
      <c r="I33" s="13"/>
      <c r="J33" s="7"/>
      <c r="K33" s="7"/>
      <c r="M33" s="13"/>
      <c r="N33" s="1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35">
      <c r="A34" s="13"/>
      <c r="B34" s="13"/>
      <c r="C34" s="13"/>
      <c r="D34" s="13"/>
      <c r="E34" s="7"/>
      <c r="F34" s="7"/>
      <c r="G34" s="13"/>
      <c r="H34" s="13"/>
      <c r="I34" s="13"/>
      <c r="J34" s="7"/>
      <c r="K34" s="7"/>
      <c r="M34" s="13"/>
      <c r="N34" s="1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13"/>
      <c r="B35" s="13"/>
      <c r="C35" s="13"/>
      <c r="D35" s="13"/>
      <c r="E35" s="7"/>
      <c r="F35" s="7"/>
      <c r="G35" s="13"/>
      <c r="H35" s="13"/>
      <c r="I35" s="13"/>
      <c r="J35" s="7"/>
      <c r="K35" s="7"/>
      <c r="M35" s="13"/>
      <c r="N35" s="13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35">
      <c r="A36" s="13"/>
      <c r="B36" s="13"/>
      <c r="C36" s="13"/>
      <c r="D36" s="13"/>
      <c r="E36" s="7"/>
      <c r="F36" s="7"/>
      <c r="G36" s="13"/>
      <c r="H36" s="13"/>
      <c r="I36" s="13"/>
      <c r="J36" s="7"/>
      <c r="K36" s="7"/>
      <c r="M36" s="13"/>
      <c r="N36" s="1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35">
      <c r="A37" s="13"/>
      <c r="B37" s="13"/>
      <c r="C37" s="13"/>
      <c r="D37" s="13"/>
      <c r="E37" s="7"/>
      <c r="F37" s="7"/>
      <c r="G37" s="13"/>
      <c r="H37" s="13"/>
      <c r="I37" s="13"/>
      <c r="J37" s="7"/>
      <c r="K37" s="7"/>
      <c r="M37" s="13"/>
      <c r="N37" s="13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35">
      <c r="A38" s="13"/>
      <c r="B38" s="13"/>
      <c r="C38" s="13"/>
      <c r="D38" s="13"/>
      <c r="E38" s="7"/>
      <c r="F38" s="7"/>
      <c r="G38" s="13"/>
      <c r="H38" s="13"/>
      <c r="I38" s="13"/>
      <c r="J38" s="7"/>
      <c r="K38" s="7"/>
      <c r="M38" s="13"/>
      <c r="N38" s="13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35">
      <c r="A39" s="13"/>
      <c r="B39" s="13"/>
      <c r="C39" s="13"/>
      <c r="D39" s="13"/>
      <c r="E39" s="7"/>
      <c r="F39" s="7"/>
      <c r="G39" s="13"/>
      <c r="H39" s="13"/>
      <c r="I39" s="13"/>
      <c r="J39" s="7"/>
      <c r="K39" s="7"/>
      <c r="M39" s="13"/>
      <c r="N39" s="13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35">
      <c r="A40" s="13"/>
      <c r="B40" s="13"/>
      <c r="C40" s="13"/>
      <c r="D40" s="13"/>
      <c r="E40" s="7"/>
      <c r="F40" s="7"/>
      <c r="G40" s="13"/>
      <c r="H40" s="13"/>
      <c r="I40" s="13"/>
      <c r="J40" s="7"/>
      <c r="K40" s="7"/>
      <c r="M40" s="13"/>
      <c r="N40" s="13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35">
      <c r="A41" s="13"/>
      <c r="B41" s="13"/>
      <c r="C41" s="13"/>
      <c r="D41" s="13"/>
      <c r="E41" s="7"/>
      <c r="F41" s="7"/>
      <c r="G41" s="13"/>
      <c r="H41" s="13"/>
      <c r="I41" s="13"/>
      <c r="J41" s="7"/>
      <c r="K41" s="7"/>
      <c r="M41" s="13"/>
      <c r="N41" s="13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35">
      <c r="A42" s="13"/>
      <c r="B42" s="13"/>
      <c r="C42" s="13"/>
      <c r="D42" s="13"/>
      <c r="E42" s="7"/>
      <c r="F42" s="7"/>
      <c r="G42" s="13"/>
      <c r="H42" s="13"/>
      <c r="I42" s="13"/>
      <c r="J42" s="7"/>
      <c r="K42" s="7"/>
      <c r="M42" s="13"/>
      <c r="N42" s="13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35">
      <c r="A43" s="13"/>
      <c r="B43" s="13"/>
      <c r="C43" s="13"/>
      <c r="D43" s="13"/>
      <c r="E43" s="7"/>
      <c r="F43" s="7"/>
      <c r="G43" s="13"/>
      <c r="H43" s="13"/>
      <c r="I43" s="13"/>
      <c r="J43" s="7"/>
      <c r="K43" s="7"/>
      <c r="M43" s="13"/>
      <c r="N43" s="13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35">
      <c r="A44" s="13"/>
      <c r="B44" s="13"/>
      <c r="C44" s="13"/>
      <c r="D44" s="13"/>
      <c r="E44" s="7"/>
      <c r="F44" s="7"/>
      <c r="G44" s="13"/>
      <c r="H44" s="13"/>
      <c r="I44" s="13"/>
      <c r="J44" s="7"/>
      <c r="K44" s="7"/>
      <c r="M44" s="13"/>
      <c r="N44" s="13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35">
      <c r="A45" s="13"/>
      <c r="B45" s="13"/>
      <c r="C45" s="13"/>
      <c r="D45" s="13"/>
      <c r="E45" s="7"/>
      <c r="F45" s="7"/>
      <c r="G45" s="13"/>
      <c r="H45" s="13"/>
      <c r="I45" s="13"/>
      <c r="J45" s="7"/>
      <c r="K45" s="7"/>
      <c r="M45" s="13"/>
      <c r="N45" s="13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35">
      <c r="A46" s="13"/>
      <c r="B46" s="13"/>
      <c r="C46" s="13"/>
      <c r="D46" s="13"/>
      <c r="E46" s="7"/>
      <c r="F46" s="7"/>
      <c r="G46" s="13"/>
      <c r="H46" s="13"/>
      <c r="I46" s="13"/>
      <c r="J46" s="7"/>
      <c r="K46" s="7"/>
      <c r="M46" s="13"/>
      <c r="N46" s="13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35">
      <c r="A47" s="13"/>
      <c r="B47" s="13"/>
      <c r="C47" s="13"/>
      <c r="D47" s="13"/>
      <c r="E47" s="7"/>
      <c r="F47" s="7"/>
      <c r="G47" s="13"/>
      <c r="H47" s="13"/>
      <c r="I47" s="13"/>
      <c r="J47" s="7"/>
      <c r="K47" s="7"/>
      <c r="M47" s="13"/>
      <c r="N47" s="13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35">
      <c r="A48" s="13"/>
      <c r="B48" s="13"/>
      <c r="C48" s="13"/>
      <c r="D48" s="13"/>
      <c r="E48" s="7"/>
      <c r="F48" s="7"/>
      <c r="G48" s="13"/>
      <c r="H48" s="13"/>
      <c r="I48" s="13"/>
      <c r="J48" s="7"/>
      <c r="K48" s="7"/>
      <c r="M48" s="13"/>
      <c r="N48" s="13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35">
      <c r="A49" s="13"/>
      <c r="B49" s="13"/>
      <c r="C49" s="13"/>
      <c r="D49" s="13"/>
      <c r="E49" s="7"/>
      <c r="F49" s="7"/>
      <c r="G49" s="13"/>
      <c r="H49" s="13"/>
      <c r="I49" s="13"/>
      <c r="J49" s="7"/>
      <c r="K49" s="7"/>
      <c r="M49" s="13"/>
      <c r="N49" s="1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35">
      <c r="A50" s="13"/>
      <c r="B50" s="13"/>
      <c r="C50" s="13"/>
      <c r="D50" s="13"/>
      <c r="E50" s="7"/>
      <c r="F50" s="7"/>
      <c r="G50" s="13"/>
      <c r="H50" s="13"/>
      <c r="I50" s="13"/>
      <c r="J50" s="7"/>
      <c r="K50" s="7"/>
      <c r="M50" s="13"/>
      <c r="N50" s="13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35">
      <c r="A51" s="13"/>
      <c r="B51" s="13"/>
      <c r="C51" s="13"/>
      <c r="D51" s="13"/>
      <c r="E51" s="7"/>
      <c r="F51" s="7"/>
      <c r="G51" s="13"/>
      <c r="H51" s="13"/>
      <c r="I51" s="13"/>
      <c r="J51" s="7"/>
      <c r="K51" s="7"/>
      <c r="M51" s="13"/>
      <c r="N51" s="1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35">
      <c r="A52" s="13"/>
      <c r="B52" s="13"/>
      <c r="C52" s="13"/>
      <c r="D52" s="13"/>
      <c r="E52" s="7"/>
      <c r="F52" s="7"/>
      <c r="G52" s="13"/>
      <c r="H52" s="13"/>
      <c r="I52" s="13"/>
      <c r="J52" s="7"/>
      <c r="K52" s="7"/>
      <c r="M52" s="13"/>
      <c r="N52" s="1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35">
      <c r="A53" s="13"/>
      <c r="B53" s="13"/>
      <c r="C53" s="13"/>
      <c r="D53" s="13"/>
      <c r="E53" s="7"/>
      <c r="F53" s="7"/>
      <c r="G53" s="13"/>
      <c r="H53" s="13"/>
      <c r="I53" s="13"/>
      <c r="J53" s="7"/>
      <c r="K53" s="7"/>
      <c r="M53" s="13"/>
      <c r="N53" s="1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35">
      <c r="A54" s="13"/>
      <c r="B54" s="13"/>
      <c r="C54" s="13"/>
      <c r="D54" s="13"/>
      <c r="E54" s="7"/>
      <c r="F54" s="7"/>
      <c r="G54" s="13"/>
      <c r="H54" s="13"/>
      <c r="I54" s="13"/>
      <c r="J54" s="7"/>
      <c r="K54" s="7"/>
      <c r="M54" s="13"/>
      <c r="N54" s="13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35">
      <c r="A55" s="13"/>
      <c r="B55" s="13"/>
      <c r="C55" s="13"/>
      <c r="D55" s="13"/>
      <c r="E55" s="7"/>
      <c r="F55" s="7"/>
      <c r="G55" s="13"/>
      <c r="H55" s="13"/>
      <c r="I55" s="13"/>
      <c r="J55" s="7"/>
      <c r="K55" s="7"/>
      <c r="M55" s="13"/>
      <c r="N55" s="1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35">
      <c r="A56" s="13"/>
      <c r="B56" s="13"/>
      <c r="C56" s="13"/>
      <c r="D56" s="13"/>
      <c r="E56" s="7"/>
      <c r="F56" s="7"/>
      <c r="G56" s="13"/>
      <c r="H56" s="13"/>
      <c r="I56" s="13"/>
      <c r="J56" s="7"/>
      <c r="K56" s="7"/>
      <c r="M56" s="13"/>
      <c r="N56" s="13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35">
      <c r="A57" s="13"/>
      <c r="B57" s="13"/>
      <c r="C57" s="13"/>
      <c r="D57" s="13"/>
      <c r="E57" s="7"/>
      <c r="F57" s="7"/>
      <c r="G57" s="13"/>
      <c r="H57" s="13"/>
      <c r="I57" s="13"/>
      <c r="J57" s="7"/>
      <c r="K57" s="7"/>
      <c r="M57" s="13"/>
      <c r="N57" s="13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35">
      <c r="A58" s="13"/>
      <c r="B58" s="13"/>
      <c r="C58" s="13"/>
      <c r="D58" s="13"/>
      <c r="E58" s="7"/>
      <c r="F58" s="7"/>
      <c r="G58" s="13"/>
      <c r="H58" s="13"/>
      <c r="I58" s="13"/>
      <c r="J58" s="7"/>
      <c r="K58" s="7"/>
      <c r="M58" s="13"/>
      <c r="N58" s="13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35">
      <c r="A59" s="13"/>
      <c r="B59" s="13"/>
      <c r="C59" s="13"/>
      <c r="D59" s="13"/>
      <c r="E59" s="7"/>
      <c r="F59" s="7"/>
      <c r="G59" s="13"/>
      <c r="H59" s="13"/>
      <c r="I59" s="13"/>
      <c r="J59" s="7"/>
      <c r="K59" s="7"/>
      <c r="M59" s="13"/>
      <c r="N59" s="1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35">
      <c r="A60" s="13"/>
      <c r="B60" s="13"/>
      <c r="C60" s="13"/>
      <c r="D60" s="13"/>
      <c r="E60" s="7"/>
      <c r="F60" s="7"/>
      <c r="G60" s="13"/>
      <c r="H60" s="13"/>
      <c r="I60" s="13"/>
      <c r="J60" s="7"/>
      <c r="K60" s="7"/>
      <c r="M60" s="13"/>
      <c r="N60" s="1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35">
      <c r="A61" s="13"/>
      <c r="B61" s="13"/>
      <c r="C61" s="13"/>
      <c r="D61" s="13"/>
      <c r="E61" s="7"/>
      <c r="F61" s="7"/>
      <c r="G61" s="13"/>
      <c r="H61" s="13"/>
      <c r="I61" s="13"/>
      <c r="J61" s="7"/>
      <c r="K61" s="7"/>
      <c r="M61" s="13"/>
      <c r="N61" s="1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35">
      <c r="A62" s="13"/>
      <c r="B62" s="13"/>
      <c r="C62" s="13"/>
      <c r="D62" s="13"/>
      <c r="E62" s="7"/>
      <c r="F62" s="7"/>
      <c r="G62" s="13"/>
      <c r="H62" s="13"/>
      <c r="I62" s="13"/>
      <c r="J62" s="7"/>
      <c r="K62" s="7"/>
      <c r="M62" s="13"/>
      <c r="N62" s="1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35">
      <c r="A63" s="13"/>
      <c r="B63" s="13"/>
      <c r="C63" s="13"/>
      <c r="D63" s="13"/>
      <c r="E63" s="7"/>
      <c r="F63" s="7"/>
      <c r="G63" s="13"/>
      <c r="H63" s="13"/>
      <c r="I63" s="13"/>
      <c r="J63" s="7"/>
      <c r="K63" s="7"/>
      <c r="M63" s="13"/>
      <c r="N63" s="1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35">
      <c r="A64" s="13"/>
      <c r="B64" s="13"/>
      <c r="C64" s="13"/>
      <c r="D64" s="13"/>
      <c r="E64" s="7"/>
      <c r="F64" s="7"/>
      <c r="G64" s="13"/>
      <c r="H64" s="13"/>
      <c r="I64" s="13"/>
      <c r="J64" s="7"/>
      <c r="K64" s="7"/>
      <c r="M64" s="13"/>
      <c r="N64" s="13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35">
      <c r="A65" s="13"/>
      <c r="B65" s="13"/>
      <c r="C65" s="13"/>
      <c r="D65" s="13"/>
      <c r="E65" s="7"/>
      <c r="F65" s="7"/>
      <c r="G65" s="13"/>
      <c r="H65" s="13"/>
      <c r="I65" s="13"/>
      <c r="J65" s="7"/>
      <c r="K65" s="7"/>
      <c r="M65" s="13"/>
      <c r="N65" s="1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35">
      <c r="A66" s="13"/>
      <c r="B66" s="13"/>
      <c r="C66" s="13"/>
      <c r="D66" s="13"/>
      <c r="E66" s="7"/>
      <c r="F66" s="7"/>
      <c r="G66" s="13"/>
      <c r="H66" s="13"/>
      <c r="I66" s="13"/>
      <c r="J66" s="7"/>
      <c r="K66" s="7"/>
      <c r="M66" s="13"/>
      <c r="N66" s="1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35">
      <c r="A67" s="13"/>
      <c r="B67" s="13"/>
      <c r="C67" s="13"/>
      <c r="D67" s="13"/>
      <c r="E67" s="7"/>
      <c r="F67" s="7"/>
      <c r="G67" s="13"/>
      <c r="H67" s="13"/>
      <c r="I67" s="13"/>
      <c r="J67" s="7"/>
      <c r="K67" s="7"/>
      <c r="M67" s="13"/>
      <c r="N67" s="1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35">
      <c r="A68" s="13"/>
      <c r="B68" s="13"/>
      <c r="C68" s="13"/>
      <c r="D68" s="13"/>
      <c r="E68" s="7"/>
      <c r="F68" s="7"/>
      <c r="G68" s="13"/>
      <c r="H68" s="13"/>
      <c r="I68" s="13"/>
      <c r="J68" s="7"/>
      <c r="K68" s="7"/>
      <c r="M68" s="13"/>
      <c r="N68" s="13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35">
      <c r="A69" s="13"/>
      <c r="B69" s="13"/>
      <c r="C69" s="13"/>
      <c r="D69" s="13"/>
      <c r="E69" s="7"/>
      <c r="F69" s="7"/>
      <c r="G69" s="13"/>
      <c r="H69" s="13"/>
      <c r="I69" s="13"/>
      <c r="J69" s="7"/>
      <c r="K69" s="7"/>
      <c r="M69" s="13"/>
      <c r="N69" s="1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35">
      <c r="A70" s="13"/>
      <c r="B70" s="13"/>
      <c r="C70" s="13"/>
      <c r="D70" s="13"/>
      <c r="E70" s="7"/>
      <c r="F70" s="7"/>
      <c r="G70" s="13"/>
      <c r="H70" s="13"/>
      <c r="I70" s="13"/>
      <c r="J70" s="7"/>
      <c r="K70" s="7"/>
      <c r="M70" s="13"/>
      <c r="N70" s="13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35">
      <c r="A71" s="13"/>
      <c r="B71" s="13"/>
      <c r="C71" s="13"/>
      <c r="D71" s="13"/>
      <c r="E71" s="7"/>
      <c r="F71" s="7"/>
      <c r="G71" s="13"/>
      <c r="H71" s="13"/>
      <c r="I71" s="13"/>
      <c r="J71" s="7"/>
      <c r="K71" s="7"/>
      <c r="M71" s="13"/>
      <c r="N71" s="1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35">
      <c r="A72" s="13"/>
      <c r="B72" s="13"/>
      <c r="C72" s="13"/>
      <c r="D72" s="13"/>
      <c r="E72" s="7"/>
      <c r="F72" s="7"/>
      <c r="G72" s="13"/>
      <c r="H72" s="13"/>
      <c r="I72" s="13"/>
      <c r="J72" s="7"/>
      <c r="K72" s="7"/>
      <c r="M72" s="13"/>
      <c r="N72" s="1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35">
      <c r="A73" s="13"/>
      <c r="B73" s="13"/>
      <c r="C73" s="13"/>
      <c r="D73" s="13"/>
      <c r="E73" s="7"/>
      <c r="F73" s="7"/>
      <c r="G73" s="13"/>
      <c r="H73" s="13"/>
      <c r="I73" s="13"/>
      <c r="J73" s="7"/>
      <c r="K73" s="7"/>
      <c r="M73" s="13"/>
      <c r="N73" s="1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35">
      <c r="A74" s="13"/>
      <c r="B74" s="13"/>
      <c r="C74" s="13"/>
      <c r="D74" s="13"/>
      <c r="E74" s="7"/>
      <c r="F74" s="7"/>
      <c r="G74" s="13"/>
      <c r="H74" s="13"/>
      <c r="I74" s="13"/>
      <c r="J74" s="7"/>
      <c r="K74" s="7"/>
      <c r="M74" s="13"/>
      <c r="N74" s="13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</sheetData>
  <mergeCells count="386">
    <mergeCell ref="Z17:AB17"/>
    <mergeCell ref="Z18:AB18"/>
    <mergeCell ref="Z19:AB19"/>
    <mergeCell ref="Z20:AB20"/>
    <mergeCell ref="Z11:AB11"/>
    <mergeCell ref="Z12:AB12"/>
    <mergeCell ref="Z13:AB13"/>
    <mergeCell ref="Z14:AB14"/>
    <mergeCell ref="Z15:AB15"/>
    <mergeCell ref="Z16:AB16"/>
    <mergeCell ref="Z3:AB3"/>
    <mergeCell ref="Z4:AB4"/>
    <mergeCell ref="Z5:AB5"/>
    <mergeCell ref="Z6:AB6"/>
    <mergeCell ref="Z7:AB7"/>
    <mergeCell ref="Z8:AB8"/>
    <mergeCell ref="Z9:AB9"/>
    <mergeCell ref="Z10:AB10"/>
    <mergeCell ref="Z1:AB1"/>
    <mergeCell ref="O13:P13"/>
    <mergeCell ref="O14:P14"/>
    <mergeCell ref="O15:P15"/>
    <mergeCell ref="Q11:S11"/>
    <mergeCell ref="Q12:S12"/>
    <mergeCell ref="Q13:S13"/>
    <mergeCell ref="W14:Y14"/>
    <mergeCell ref="T16:V16"/>
    <mergeCell ref="W16:Y16"/>
    <mergeCell ref="A14:B14"/>
    <mergeCell ref="C14:D14"/>
    <mergeCell ref="O16:P16"/>
    <mergeCell ref="G15:I15"/>
    <mergeCell ref="O3:P3"/>
    <mergeCell ref="O4:P4"/>
    <mergeCell ref="O5:P5"/>
    <mergeCell ref="O6:P6"/>
    <mergeCell ref="O7:P7"/>
    <mergeCell ref="O8:P8"/>
    <mergeCell ref="O9:P9"/>
    <mergeCell ref="O10:P10"/>
    <mergeCell ref="L15:N15"/>
    <mergeCell ref="L16:N16"/>
    <mergeCell ref="J3:K3"/>
    <mergeCell ref="J4:K4"/>
    <mergeCell ref="J5:K5"/>
    <mergeCell ref="L7:N7"/>
    <mergeCell ref="L8:N8"/>
    <mergeCell ref="J7:K7"/>
    <mergeCell ref="J8:K8"/>
    <mergeCell ref="J15:K15"/>
    <mergeCell ref="O11:P11"/>
    <mergeCell ref="O12:P12"/>
    <mergeCell ref="J6:K6"/>
    <mergeCell ref="J9:K9"/>
    <mergeCell ref="J10:K10"/>
    <mergeCell ref="J11:K11"/>
    <mergeCell ref="J12:K12"/>
    <mergeCell ref="J13:K13"/>
    <mergeCell ref="E8:F8"/>
    <mergeCell ref="E9:F9"/>
    <mergeCell ref="E10:F10"/>
    <mergeCell ref="E11:F11"/>
    <mergeCell ref="E12:F12"/>
    <mergeCell ref="E13:F13"/>
    <mergeCell ref="A1:Y1"/>
    <mergeCell ref="A2:Y2"/>
    <mergeCell ref="A18:Y18"/>
    <mergeCell ref="A20:Y20"/>
    <mergeCell ref="A19:Y19"/>
    <mergeCell ref="E3:F3"/>
    <mergeCell ref="E4:F4"/>
    <mergeCell ref="E5:F5"/>
    <mergeCell ref="T9:V9"/>
    <mergeCell ref="T10:V10"/>
    <mergeCell ref="T11:V11"/>
    <mergeCell ref="T12:V12"/>
    <mergeCell ref="T13:V13"/>
    <mergeCell ref="T14:V14"/>
    <mergeCell ref="Q14:S14"/>
    <mergeCell ref="T3:V3"/>
    <mergeCell ref="T4:V4"/>
    <mergeCell ref="T5:V5"/>
    <mergeCell ref="T6:V6"/>
    <mergeCell ref="T7:V7"/>
    <mergeCell ref="T8:V8"/>
    <mergeCell ref="Q8:S8"/>
    <mergeCell ref="Q9:S9"/>
    <mergeCell ref="Q10:S10"/>
    <mergeCell ref="W17:Y17"/>
    <mergeCell ref="Q3:S3"/>
    <mergeCell ref="Q4:S4"/>
    <mergeCell ref="Q5:S5"/>
    <mergeCell ref="Q6:S6"/>
    <mergeCell ref="Q7:S7"/>
    <mergeCell ref="W8:Y8"/>
    <mergeCell ref="W9:Y9"/>
    <mergeCell ref="W10:Y10"/>
    <mergeCell ref="W11:Y11"/>
    <mergeCell ref="W12:Y12"/>
    <mergeCell ref="W13:Y13"/>
    <mergeCell ref="W3:Y3"/>
    <mergeCell ref="W4:Y4"/>
    <mergeCell ref="W5:Y5"/>
    <mergeCell ref="W6:Y6"/>
    <mergeCell ref="W7:Y7"/>
    <mergeCell ref="Q16:S16"/>
    <mergeCell ref="Q15:S15"/>
    <mergeCell ref="W15:Y15"/>
    <mergeCell ref="T15:V15"/>
    <mergeCell ref="A74:B74"/>
    <mergeCell ref="C74:D74"/>
    <mergeCell ref="G74:I74"/>
    <mergeCell ref="M74:N74"/>
    <mergeCell ref="L3:N3"/>
    <mergeCell ref="L4:N4"/>
    <mergeCell ref="L5:N5"/>
    <mergeCell ref="L17:N17"/>
    <mergeCell ref="L6:N6"/>
    <mergeCell ref="A72:B72"/>
    <mergeCell ref="C72:D72"/>
    <mergeCell ref="G72:I72"/>
    <mergeCell ref="M72:N72"/>
    <mergeCell ref="A73:B73"/>
    <mergeCell ref="C73:D73"/>
    <mergeCell ref="G73:I73"/>
    <mergeCell ref="M73:N73"/>
    <mergeCell ref="A70:B70"/>
    <mergeCell ref="C70:D70"/>
    <mergeCell ref="G70:I70"/>
    <mergeCell ref="M70:N70"/>
    <mergeCell ref="A71:B71"/>
    <mergeCell ref="C71:D71"/>
    <mergeCell ref="G71:I71"/>
    <mergeCell ref="M71:N71"/>
    <mergeCell ref="A68:B68"/>
    <mergeCell ref="C68:D68"/>
    <mergeCell ref="G68:I68"/>
    <mergeCell ref="M68:N68"/>
    <mergeCell ref="A69:B69"/>
    <mergeCell ref="C69:D69"/>
    <mergeCell ref="G69:I69"/>
    <mergeCell ref="M69:N69"/>
    <mergeCell ref="A66:B66"/>
    <mergeCell ref="C66:D66"/>
    <mergeCell ref="G66:I66"/>
    <mergeCell ref="M66:N66"/>
    <mergeCell ref="A67:B67"/>
    <mergeCell ref="C67:D67"/>
    <mergeCell ref="G67:I67"/>
    <mergeCell ref="M67:N67"/>
    <mergeCell ref="A64:B64"/>
    <mergeCell ref="C64:D64"/>
    <mergeCell ref="G64:I64"/>
    <mergeCell ref="M64:N64"/>
    <mergeCell ref="A65:B65"/>
    <mergeCell ref="C65:D65"/>
    <mergeCell ref="G65:I65"/>
    <mergeCell ref="M65:N65"/>
    <mergeCell ref="A62:B62"/>
    <mergeCell ref="C62:D62"/>
    <mergeCell ref="G62:I62"/>
    <mergeCell ref="M62:N62"/>
    <mergeCell ref="A63:B63"/>
    <mergeCell ref="C63:D63"/>
    <mergeCell ref="G63:I63"/>
    <mergeCell ref="M63:N63"/>
    <mergeCell ref="A60:B60"/>
    <mergeCell ref="C60:D60"/>
    <mergeCell ref="G60:I60"/>
    <mergeCell ref="M60:N60"/>
    <mergeCell ref="A61:B61"/>
    <mergeCell ref="C61:D61"/>
    <mergeCell ref="G61:I61"/>
    <mergeCell ref="M61:N61"/>
    <mergeCell ref="A58:B58"/>
    <mergeCell ref="C58:D58"/>
    <mergeCell ref="G58:I58"/>
    <mergeCell ref="M58:N58"/>
    <mergeCell ref="A59:B59"/>
    <mergeCell ref="C59:D59"/>
    <mergeCell ref="G59:I59"/>
    <mergeCell ref="M59:N59"/>
    <mergeCell ref="A56:B56"/>
    <mergeCell ref="C56:D56"/>
    <mergeCell ref="G56:I56"/>
    <mergeCell ref="M56:N56"/>
    <mergeCell ref="A57:B57"/>
    <mergeCell ref="C57:D57"/>
    <mergeCell ref="G57:I57"/>
    <mergeCell ref="M57:N57"/>
    <mergeCell ref="A54:B54"/>
    <mergeCell ref="C54:D54"/>
    <mergeCell ref="G54:I54"/>
    <mergeCell ref="M54:N54"/>
    <mergeCell ref="A55:B55"/>
    <mergeCell ref="C55:D55"/>
    <mergeCell ref="G55:I55"/>
    <mergeCell ref="M55:N55"/>
    <mergeCell ref="A52:B52"/>
    <mergeCell ref="C52:D52"/>
    <mergeCell ref="G52:I52"/>
    <mergeCell ref="M52:N52"/>
    <mergeCell ref="A53:B53"/>
    <mergeCell ref="C53:D53"/>
    <mergeCell ref="G53:I53"/>
    <mergeCell ref="M53:N53"/>
    <mergeCell ref="A50:B50"/>
    <mergeCell ref="C50:D50"/>
    <mergeCell ref="G50:I50"/>
    <mergeCell ref="M50:N50"/>
    <mergeCell ref="A51:B51"/>
    <mergeCell ref="C51:D51"/>
    <mergeCell ref="G51:I51"/>
    <mergeCell ref="M51:N51"/>
    <mergeCell ref="A48:B48"/>
    <mergeCell ref="C48:D48"/>
    <mergeCell ref="G48:I48"/>
    <mergeCell ref="M48:N48"/>
    <mergeCell ref="A49:B49"/>
    <mergeCell ref="C49:D49"/>
    <mergeCell ref="G49:I49"/>
    <mergeCell ref="M49:N49"/>
    <mergeCell ref="A46:B46"/>
    <mergeCell ref="C46:D46"/>
    <mergeCell ref="G46:I46"/>
    <mergeCell ref="M46:N46"/>
    <mergeCell ref="A47:B47"/>
    <mergeCell ref="C47:D47"/>
    <mergeCell ref="G47:I47"/>
    <mergeCell ref="M47:N47"/>
    <mergeCell ref="A44:B44"/>
    <mergeCell ref="C44:D44"/>
    <mergeCell ref="G44:I44"/>
    <mergeCell ref="M44:N44"/>
    <mergeCell ref="A45:B45"/>
    <mergeCell ref="C45:D45"/>
    <mergeCell ref="G45:I45"/>
    <mergeCell ref="M45:N45"/>
    <mergeCell ref="A42:B42"/>
    <mergeCell ref="C42:D42"/>
    <mergeCell ref="G42:I42"/>
    <mergeCell ref="M42:N42"/>
    <mergeCell ref="A43:B43"/>
    <mergeCell ref="C43:D43"/>
    <mergeCell ref="G43:I43"/>
    <mergeCell ref="M43:N43"/>
    <mergeCell ref="A40:B40"/>
    <mergeCell ref="C40:D40"/>
    <mergeCell ref="G40:I40"/>
    <mergeCell ref="M40:N40"/>
    <mergeCell ref="A41:B41"/>
    <mergeCell ref="C41:D41"/>
    <mergeCell ref="G41:I41"/>
    <mergeCell ref="M41:N41"/>
    <mergeCell ref="A38:B38"/>
    <mergeCell ref="C38:D38"/>
    <mergeCell ref="G38:I38"/>
    <mergeCell ref="M38:N38"/>
    <mergeCell ref="A39:B39"/>
    <mergeCell ref="C39:D39"/>
    <mergeCell ref="G39:I39"/>
    <mergeCell ref="M39:N39"/>
    <mergeCell ref="A36:B36"/>
    <mergeCell ref="C36:D36"/>
    <mergeCell ref="G36:I36"/>
    <mergeCell ref="M36:N36"/>
    <mergeCell ref="A37:B37"/>
    <mergeCell ref="C37:D37"/>
    <mergeCell ref="G37:I37"/>
    <mergeCell ref="M37:N37"/>
    <mergeCell ref="A34:B34"/>
    <mergeCell ref="C34:D34"/>
    <mergeCell ref="G34:I34"/>
    <mergeCell ref="M34:N34"/>
    <mergeCell ref="A35:B35"/>
    <mergeCell ref="C35:D35"/>
    <mergeCell ref="G35:I35"/>
    <mergeCell ref="M35:N35"/>
    <mergeCell ref="A32:B32"/>
    <mergeCell ref="C32:D32"/>
    <mergeCell ref="G32:I32"/>
    <mergeCell ref="M32:N32"/>
    <mergeCell ref="A33:B33"/>
    <mergeCell ref="C33:D33"/>
    <mergeCell ref="G33:I33"/>
    <mergeCell ref="M33:N33"/>
    <mergeCell ref="A30:B30"/>
    <mergeCell ref="C30:D30"/>
    <mergeCell ref="G30:I30"/>
    <mergeCell ref="M30:N30"/>
    <mergeCell ref="A31:B31"/>
    <mergeCell ref="C31:D31"/>
    <mergeCell ref="G31:I31"/>
    <mergeCell ref="M31:N31"/>
    <mergeCell ref="A28:B28"/>
    <mergeCell ref="C28:D28"/>
    <mergeCell ref="G28:I28"/>
    <mergeCell ref="M28:N28"/>
    <mergeCell ref="A29:B29"/>
    <mergeCell ref="C29:D29"/>
    <mergeCell ref="G29:I29"/>
    <mergeCell ref="M29:N29"/>
    <mergeCell ref="A26:B26"/>
    <mergeCell ref="C26:D26"/>
    <mergeCell ref="G26:I26"/>
    <mergeCell ref="M26:N26"/>
    <mergeCell ref="A27:B27"/>
    <mergeCell ref="C27:D27"/>
    <mergeCell ref="G27:I27"/>
    <mergeCell ref="M27:N27"/>
    <mergeCell ref="A24:B24"/>
    <mergeCell ref="C24:D24"/>
    <mergeCell ref="G24:I24"/>
    <mergeCell ref="M24:N24"/>
    <mergeCell ref="A25:B25"/>
    <mergeCell ref="C25:D25"/>
    <mergeCell ref="G25:I25"/>
    <mergeCell ref="M25:N25"/>
    <mergeCell ref="A22:B22"/>
    <mergeCell ref="C22:D22"/>
    <mergeCell ref="G22:I22"/>
    <mergeCell ref="M22:N22"/>
    <mergeCell ref="A23:B23"/>
    <mergeCell ref="C23:D23"/>
    <mergeCell ref="G23:I23"/>
    <mergeCell ref="M23:N23"/>
    <mergeCell ref="A21:B21"/>
    <mergeCell ref="C21:D21"/>
    <mergeCell ref="G21:I21"/>
    <mergeCell ref="M21:N21"/>
    <mergeCell ref="A17:B17"/>
    <mergeCell ref="C17:D17"/>
    <mergeCell ref="G17:I17"/>
    <mergeCell ref="L14:N14"/>
    <mergeCell ref="E14:F14"/>
    <mergeCell ref="A12:B12"/>
    <mergeCell ref="C12:D12"/>
    <mergeCell ref="G12:I12"/>
    <mergeCell ref="A13:B13"/>
    <mergeCell ref="C13:D13"/>
    <mergeCell ref="G13:I13"/>
    <mergeCell ref="L12:N12"/>
    <mergeCell ref="L13:N13"/>
    <mergeCell ref="J17:K17"/>
    <mergeCell ref="J16:K16"/>
    <mergeCell ref="G16:I16"/>
    <mergeCell ref="G14:I14"/>
    <mergeCell ref="E15:F15"/>
    <mergeCell ref="A15:B15"/>
    <mergeCell ref="C15:D15"/>
    <mergeCell ref="A16:B16"/>
    <mergeCell ref="C16:D16"/>
    <mergeCell ref="E16:F16"/>
    <mergeCell ref="J14:K14"/>
    <mergeCell ref="A10:B10"/>
    <mergeCell ref="C10:D10"/>
    <mergeCell ref="G10:I10"/>
    <mergeCell ref="A11:B11"/>
    <mergeCell ref="C11:D11"/>
    <mergeCell ref="G11:I11"/>
    <mergeCell ref="L10:N10"/>
    <mergeCell ref="L11:N11"/>
    <mergeCell ref="A8:B8"/>
    <mergeCell ref="C8:D8"/>
    <mergeCell ref="G8:I8"/>
    <mergeCell ref="A9:B9"/>
    <mergeCell ref="C9:D9"/>
    <mergeCell ref="G9:I9"/>
    <mergeCell ref="L9:N9"/>
    <mergeCell ref="A3:B3"/>
    <mergeCell ref="C3:D3"/>
    <mergeCell ref="G3:I3"/>
    <mergeCell ref="A6:B6"/>
    <mergeCell ref="C6:D6"/>
    <mergeCell ref="G6:I6"/>
    <mergeCell ref="A7:B7"/>
    <mergeCell ref="C7:D7"/>
    <mergeCell ref="G7:I7"/>
    <mergeCell ref="E6:F6"/>
    <mergeCell ref="E7:F7"/>
    <mergeCell ref="A4:B4"/>
    <mergeCell ref="C4:D4"/>
    <mergeCell ref="G4:I4"/>
    <mergeCell ref="A5:B5"/>
    <mergeCell ref="C5:D5"/>
    <mergeCell ref="G5:I5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CBFA-D218-4607-B09B-DD93D8F52D91}">
  <dimension ref="A1:R16"/>
  <sheetViews>
    <sheetView zoomScale="79" zoomScaleNormal="100" workbookViewId="0">
      <selection activeCell="E19" sqref="E19"/>
    </sheetView>
  </sheetViews>
  <sheetFormatPr defaultRowHeight="14.5" x14ac:dyDescent="0.35"/>
  <cols>
    <col min="1" max="1" width="10.6328125" bestFit="1" customWidth="1"/>
    <col min="3" max="3" width="10" customWidth="1"/>
  </cols>
  <sheetData>
    <row r="1" spans="1:18" x14ac:dyDescent="0.35">
      <c r="A1" s="1" t="s">
        <v>77</v>
      </c>
      <c r="B1" s="22" t="s">
        <v>107</v>
      </c>
      <c r="C1" s="22"/>
      <c r="D1" s="22" t="s">
        <v>104</v>
      </c>
      <c r="E1" s="22"/>
      <c r="F1" s="22"/>
      <c r="G1" s="22" t="s">
        <v>83</v>
      </c>
      <c r="H1" s="22"/>
      <c r="I1" s="22"/>
      <c r="J1" s="22" t="s">
        <v>105</v>
      </c>
      <c r="K1" s="22"/>
      <c r="L1" s="22"/>
      <c r="M1" s="22" t="s">
        <v>106</v>
      </c>
      <c r="N1" s="22"/>
      <c r="O1" s="22"/>
      <c r="P1" s="22" t="s">
        <v>84</v>
      </c>
      <c r="Q1" s="22"/>
      <c r="R1" s="22"/>
    </row>
    <row r="2" spans="1:18" x14ac:dyDescent="0.35">
      <c r="A2" s="10">
        <v>46031</v>
      </c>
      <c r="B2" s="103">
        <v>12000</v>
      </c>
      <c r="C2" s="104"/>
      <c r="D2" s="103">
        <v>20000</v>
      </c>
      <c r="E2" s="105"/>
      <c r="F2" s="104"/>
      <c r="G2" s="109" t="s">
        <v>111</v>
      </c>
      <c r="H2" s="110"/>
      <c r="I2" s="111"/>
      <c r="J2" s="103">
        <v>50000</v>
      </c>
      <c r="K2" s="105"/>
      <c r="L2" s="104"/>
      <c r="M2" s="118" t="s">
        <v>94</v>
      </c>
      <c r="N2" s="119"/>
      <c r="O2" s="120"/>
      <c r="P2" s="118" t="s">
        <v>113</v>
      </c>
      <c r="Q2" s="119"/>
      <c r="R2" s="120"/>
    </row>
    <row r="3" spans="1:18" x14ac:dyDescent="0.35">
      <c r="A3" s="10">
        <v>46151</v>
      </c>
      <c r="B3" s="103">
        <v>1500</v>
      </c>
      <c r="C3" s="104"/>
      <c r="D3" s="103">
        <v>20000</v>
      </c>
      <c r="E3" s="105"/>
      <c r="F3" s="104"/>
      <c r="G3" s="112" t="s">
        <v>112</v>
      </c>
      <c r="H3" s="113"/>
      <c r="I3" s="114"/>
      <c r="J3" s="103">
        <v>50000</v>
      </c>
      <c r="K3" s="105"/>
      <c r="L3" s="104"/>
      <c r="M3" s="118">
        <v>10500</v>
      </c>
      <c r="N3" s="119"/>
      <c r="O3" s="120"/>
      <c r="P3" s="118" t="s">
        <v>114</v>
      </c>
      <c r="Q3" s="119"/>
      <c r="R3" s="120"/>
    </row>
    <row r="4" spans="1:18" x14ac:dyDescent="0.35">
      <c r="A4" s="10">
        <v>46304</v>
      </c>
      <c r="B4" s="103">
        <v>-20000</v>
      </c>
      <c r="C4" s="104"/>
      <c r="D4" s="103">
        <v>20000</v>
      </c>
      <c r="E4" s="105"/>
      <c r="F4" s="104"/>
      <c r="G4" s="115" t="s">
        <v>110</v>
      </c>
      <c r="H4" s="116"/>
      <c r="I4" s="117"/>
      <c r="J4" s="103">
        <v>50000</v>
      </c>
      <c r="K4" s="105"/>
      <c r="L4" s="104"/>
      <c r="M4" s="118">
        <v>21500</v>
      </c>
      <c r="N4" s="119"/>
      <c r="O4" s="120"/>
      <c r="P4" s="118" t="s">
        <v>115</v>
      </c>
      <c r="Q4" s="119"/>
      <c r="R4" s="120"/>
    </row>
    <row r="5" spans="1:18" x14ac:dyDescent="0.35">
      <c r="A5" s="10" t="s">
        <v>72</v>
      </c>
      <c r="B5" s="103">
        <v>-52000</v>
      </c>
      <c r="C5" s="104"/>
      <c r="D5" s="103">
        <v>20000</v>
      </c>
      <c r="E5" s="105"/>
      <c r="F5" s="104"/>
      <c r="G5" s="118" t="s">
        <v>110</v>
      </c>
      <c r="H5" s="119"/>
      <c r="I5" s="120"/>
      <c r="J5" s="103">
        <v>50000</v>
      </c>
      <c r="K5" s="105"/>
      <c r="L5" s="104"/>
      <c r="M5" s="118">
        <v>32000</v>
      </c>
      <c r="N5" s="119"/>
      <c r="O5" s="120"/>
      <c r="P5" s="118" t="s">
        <v>116</v>
      </c>
      <c r="Q5" s="119"/>
      <c r="R5" s="120"/>
    </row>
    <row r="6" spans="1:18" x14ac:dyDescent="0.35">
      <c r="A6" s="10" t="s">
        <v>108</v>
      </c>
      <c r="B6" s="103">
        <v>-59000</v>
      </c>
      <c r="C6" s="104"/>
      <c r="D6" s="103">
        <v>20000</v>
      </c>
      <c r="E6" s="105"/>
      <c r="F6" s="104"/>
      <c r="G6" s="118" t="s">
        <v>110</v>
      </c>
      <c r="H6" s="119"/>
      <c r="I6" s="120"/>
      <c r="J6" s="103">
        <v>50000</v>
      </c>
      <c r="K6" s="105"/>
      <c r="L6" s="104"/>
      <c r="M6" s="118">
        <v>7000</v>
      </c>
      <c r="N6" s="119"/>
      <c r="O6" s="120"/>
      <c r="P6" s="118" t="s">
        <v>117</v>
      </c>
      <c r="Q6" s="119"/>
      <c r="R6" s="120"/>
    </row>
    <row r="7" spans="1:18" x14ac:dyDescent="0.35">
      <c r="A7" s="10" t="s">
        <v>73</v>
      </c>
      <c r="B7" s="103">
        <v>-65700</v>
      </c>
      <c r="C7" s="104"/>
      <c r="D7" s="103">
        <v>20000</v>
      </c>
      <c r="E7" s="105"/>
      <c r="F7" s="104"/>
      <c r="G7" s="118" t="s">
        <v>110</v>
      </c>
      <c r="H7" s="119"/>
      <c r="I7" s="120"/>
      <c r="J7" s="103">
        <v>50000</v>
      </c>
      <c r="K7" s="105"/>
      <c r="L7" s="104"/>
      <c r="M7" s="118">
        <v>6700</v>
      </c>
      <c r="N7" s="119"/>
      <c r="O7" s="120"/>
      <c r="P7" s="118" t="s">
        <v>118</v>
      </c>
      <c r="Q7" s="119"/>
      <c r="R7" s="120"/>
    </row>
    <row r="8" spans="1:18" x14ac:dyDescent="0.35">
      <c r="A8" s="10" t="s">
        <v>51</v>
      </c>
      <c r="B8" s="103">
        <v>-70000</v>
      </c>
      <c r="C8" s="104"/>
      <c r="D8" s="103">
        <v>20000</v>
      </c>
      <c r="E8" s="105"/>
      <c r="F8" s="104"/>
      <c r="G8" s="118" t="s">
        <v>110</v>
      </c>
      <c r="H8" s="119"/>
      <c r="I8" s="120"/>
      <c r="J8" s="103">
        <v>50000</v>
      </c>
      <c r="K8" s="105"/>
      <c r="L8" s="104"/>
      <c r="M8" s="118">
        <v>4300</v>
      </c>
      <c r="N8" s="119"/>
      <c r="O8" s="120"/>
      <c r="P8" s="118" t="s">
        <v>119</v>
      </c>
      <c r="Q8" s="119"/>
      <c r="R8" s="120"/>
    </row>
    <row r="9" spans="1:18" x14ac:dyDescent="0.35">
      <c r="A9" s="10">
        <v>46032</v>
      </c>
      <c r="B9" s="103">
        <v>-81000</v>
      </c>
      <c r="C9" s="104"/>
      <c r="D9" s="103">
        <v>20000</v>
      </c>
      <c r="E9" s="105"/>
      <c r="F9" s="104"/>
      <c r="G9" s="118" t="s">
        <v>110</v>
      </c>
      <c r="H9" s="119"/>
      <c r="I9" s="120"/>
      <c r="J9" s="103">
        <v>50000</v>
      </c>
      <c r="K9" s="105"/>
      <c r="L9" s="104"/>
      <c r="M9" s="118">
        <v>11000</v>
      </c>
      <c r="N9" s="119"/>
      <c r="O9" s="120"/>
      <c r="P9" s="118" t="s">
        <v>120</v>
      </c>
      <c r="Q9" s="119"/>
      <c r="R9" s="120"/>
    </row>
    <row r="10" spans="1:18" x14ac:dyDescent="0.35">
      <c r="A10" s="10">
        <v>46152</v>
      </c>
      <c r="B10" s="103">
        <v>-85800</v>
      </c>
      <c r="C10" s="104"/>
      <c r="D10" s="103">
        <v>20000</v>
      </c>
      <c r="E10" s="105"/>
      <c r="F10" s="104"/>
      <c r="G10" s="118" t="s">
        <v>110</v>
      </c>
      <c r="H10" s="119"/>
      <c r="I10" s="120"/>
      <c r="J10" s="103">
        <v>50000</v>
      </c>
      <c r="K10" s="105"/>
      <c r="L10" s="104"/>
      <c r="M10" s="118">
        <v>4800</v>
      </c>
      <c r="N10" s="119"/>
      <c r="O10" s="120"/>
      <c r="P10" s="118" t="s">
        <v>121</v>
      </c>
      <c r="Q10" s="119"/>
      <c r="R10" s="120"/>
    </row>
    <row r="11" spans="1:18" x14ac:dyDescent="0.35">
      <c r="A11" s="10">
        <v>46305</v>
      </c>
      <c r="B11" s="103">
        <v>-96300</v>
      </c>
      <c r="C11" s="104"/>
      <c r="D11" s="103">
        <v>20000</v>
      </c>
      <c r="E11" s="105"/>
      <c r="F11" s="104"/>
      <c r="G11" s="118" t="s">
        <v>110</v>
      </c>
      <c r="H11" s="119"/>
      <c r="I11" s="120"/>
      <c r="J11" s="103">
        <v>50000</v>
      </c>
      <c r="K11" s="105"/>
      <c r="L11" s="104"/>
      <c r="M11" s="118">
        <v>10500</v>
      </c>
      <c r="N11" s="119"/>
      <c r="O11" s="120"/>
      <c r="P11" s="118" t="s">
        <v>122</v>
      </c>
      <c r="Q11" s="119"/>
      <c r="R11" s="120"/>
    </row>
    <row r="12" spans="1:18" x14ac:dyDescent="0.35">
      <c r="A12" s="10" t="s">
        <v>52</v>
      </c>
      <c r="B12" s="103">
        <v>-103300</v>
      </c>
      <c r="C12" s="104"/>
      <c r="D12" s="103">
        <v>20000</v>
      </c>
      <c r="E12" s="105"/>
      <c r="F12" s="104"/>
      <c r="G12" s="118" t="s">
        <v>110</v>
      </c>
      <c r="H12" s="119"/>
      <c r="I12" s="120"/>
      <c r="J12" s="103">
        <v>50000</v>
      </c>
      <c r="K12" s="105"/>
      <c r="L12" s="104"/>
      <c r="M12" s="118">
        <v>7000</v>
      </c>
      <c r="N12" s="119"/>
      <c r="O12" s="120"/>
      <c r="P12" s="118" t="s">
        <v>123</v>
      </c>
      <c r="Q12" s="119"/>
      <c r="R12" s="120"/>
    </row>
    <row r="13" spans="1:18" x14ac:dyDescent="0.35">
      <c r="A13" s="10" t="s">
        <v>109</v>
      </c>
      <c r="B13" s="103">
        <v>-106500</v>
      </c>
      <c r="C13" s="104"/>
      <c r="D13" s="103">
        <v>20000</v>
      </c>
      <c r="E13" s="105"/>
      <c r="F13" s="104"/>
      <c r="G13" s="118" t="s">
        <v>110</v>
      </c>
      <c r="H13" s="119"/>
      <c r="I13" s="120"/>
      <c r="J13" s="103">
        <v>50000</v>
      </c>
      <c r="K13" s="105"/>
      <c r="L13" s="104"/>
      <c r="M13" s="118">
        <v>3200</v>
      </c>
      <c r="N13" s="119"/>
      <c r="O13" s="120"/>
      <c r="P13" s="118" t="s">
        <v>125</v>
      </c>
      <c r="Q13" s="119"/>
      <c r="R13" s="120"/>
    </row>
    <row r="14" spans="1:18" ht="15" thickBot="1" x14ac:dyDescent="0.4">
      <c r="A14" s="10" t="s">
        <v>53</v>
      </c>
      <c r="B14" s="103">
        <v>-99000</v>
      </c>
      <c r="C14" s="104"/>
      <c r="D14" s="103">
        <v>20000</v>
      </c>
      <c r="E14" s="105"/>
      <c r="F14" s="104"/>
      <c r="G14" s="121" t="s">
        <v>110</v>
      </c>
      <c r="H14" s="122"/>
      <c r="I14" s="123"/>
      <c r="J14" s="103">
        <v>50000</v>
      </c>
      <c r="K14" s="105"/>
      <c r="L14" s="104"/>
      <c r="M14" s="118">
        <v>7500</v>
      </c>
      <c r="N14" s="119"/>
      <c r="O14" s="120"/>
      <c r="P14" s="118" t="s">
        <v>124</v>
      </c>
      <c r="Q14" s="119"/>
      <c r="R14" s="120"/>
    </row>
    <row r="15" spans="1:18" x14ac:dyDescent="0.35">
      <c r="A15" s="11" t="s">
        <v>97</v>
      </c>
      <c r="B15" s="103">
        <v>0</v>
      </c>
      <c r="C15" s="104"/>
      <c r="D15" s="106" t="s">
        <v>94</v>
      </c>
      <c r="E15" s="107"/>
      <c r="F15" s="108"/>
      <c r="G15" s="124" t="s">
        <v>94</v>
      </c>
      <c r="H15" s="125"/>
      <c r="I15" s="126"/>
      <c r="J15" s="106" t="s">
        <v>94</v>
      </c>
      <c r="K15" s="105"/>
      <c r="L15" s="104"/>
      <c r="M15" s="127" t="s">
        <v>94</v>
      </c>
      <c r="N15" s="128"/>
      <c r="O15" s="129"/>
      <c r="P15" s="127" t="s">
        <v>94</v>
      </c>
      <c r="Q15" s="128"/>
      <c r="R15" s="129"/>
    </row>
    <row r="16" spans="1:18" x14ac:dyDescent="0.35">
      <c r="A16" s="11" t="s">
        <v>97</v>
      </c>
      <c r="B16" s="103">
        <v>0</v>
      </c>
      <c r="C16" s="104"/>
      <c r="D16" s="106" t="s">
        <v>94</v>
      </c>
      <c r="E16" s="107"/>
      <c r="F16" s="108"/>
      <c r="G16" s="127" t="s">
        <v>94</v>
      </c>
      <c r="H16" s="128"/>
      <c r="I16" s="129"/>
      <c r="J16" s="106" t="s">
        <v>94</v>
      </c>
      <c r="K16" s="105"/>
      <c r="L16" s="104"/>
      <c r="M16" s="127" t="s">
        <v>94</v>
      </c>
      <c r="N16" s="128"/>
      <c r="O16" s="129"/>
      <c r="P16" s="127" t="s">
        <v>94</v>
      </c>
      <c r="Q16" s="128"/>
      <c r="R16" s="129"/>
    </row>
  </sheetData>
  <mergeCells count="96">
    <mergeCell ref="P12:R12"/>
    <mergeCell ref="P13:R13"/>
    <mergeCell ref="P14:R14"/>
    <mergeCell ref="P15:R15"/>
    <mergeCell ref="P16:R16"/>
    <mergeCell ref="P7:R7"/>
    <mergeCell ref="P8:R8"/>
    <mergeCell ref="P9:R9"/>
    <mergeCell ref="P10:R10"/>
    <mergeCell ref="P11:R11"/>
    <mergeCell ref="P2:R2"/>
    <mergeCell ref="P3:R3"/>
    <mergeCell ref="P4:R4"/>
    <mergeCell ref="P5:R5"/>
    <mergeCell ref="P6:R6"/>
    <mergeCell ref="M12:O12"/>
    <mergeCell ref="M13:O13"/>
    <mergeCell ref="M14:O14"/>
    <mergeCell ref="M15:O15"/>
    <mergeCell ref="M16:O16"/>
    <mergeCell ref="M7:O7"/>
    <mergeCell ref="M8:O8"/>
    <mergeCell ref="M9:O9"/>
    <mergeCell ref="M10:O10"/>
    <mergeCell ref="M11:O11"/>
    <mergeCell ref="M2:O2"/>
    <mergeCell ref="M3:O3"/>
    <mergeCell ref="M4:O4"/>
    <mergeCell ref="M5:O5"/>
    <mergeCell ref="M6:O6"/>
    <mergeCell ref="J12:L12"/>
    <mergeCell ref="J13:L13"/>
    <mergeCell ref="J14:L14"/>
    <mergeCell ref="J15:L15"/>
    <mergeCell ref="J16:L16"/>
    <mergeCell ref="J7:L7"/>
    <mergeCell ref="J8:L8"/>
    <mergeCell ref="J9:L9"/>
    <mergeCell ref="J10:L10"/>
    <mergeCell ref="J11:L11"/>
    <mergeCell ref="J2:L2"/>
    <mergeCell ref="J3:L3"/>
    <mergeCell ref="J4:L4"/>
    <mergeCell ref="J5:L5"/>
    <mergeCell ref="J6:L6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2:I2"/>
    <mergeCell ref="G3:I3"/>
    <mergeCell ref="G4:I4"/>
    <mergeCell ref="G5:I5"/>
    <mergeCell ref="G6:I6"/>
    <mergeCell ref="D12:F12"/>
    <mergeCell ref="D13:F13"/>
    <mergeCell ref="D14:F14"/>
    <mergeCell ref="D15:F15"/>
    <mergeCell ref="D16:F16"/>
    <mergeCell ref="D7:F7"/>
    <mergeCell ref="D8:F8"/>
    <mergeCell ref="D9:F9"/>
    <mergeCell ref="D10:F10"/>
    <mergeCell ref="D11:F11"/>
    <mergeCell ref="D2:F2"/>
    <mergeCell ref="D3:F3"/>
    <mergeCell ref="D4:F4"/>
    <mergeCell ref="D5:F5"/>
    <mergeCell ref="D6:F6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  <mergeCell ref="P1:R1"/>
    <mergeCell ref="B1:C1"/>
    <mergeCell ref="D1:F1"/>
    <mergeCell ref="G1:I1"/>
    <mergeCell ref="J1:L1"/>
    <mergeCell ref="M1:O1"/>
  </mergeCells>
  <conditionalFormatting sqref="G2:I3">
    <cfRule type="containsText" dxfId="2" priority="3" operator="containsText" text="Warning">
      <formula>NOT(ISERROR(SEARCH("Warning",G2)))</formula>
    </cfRule>
  </conditionalFormatting>
  <conditionalFormatting sqref="G4:I14">
    <cfRule type="containsText" dxfId="1" priority="1" operator="containsText" text="Critical">
      <formula>NOT(ISERROR(SEARCH("Critical",G4)))</formula>
    </cfRule>
  </conditionalFormatting>
  <conditionalFormatting sqref="G7:I14">
    <cfRule type="containsText" dxfId="0" priority="2" operator="containsText" text="Critical">
      <formula>NOT(ISERROR(SEARCH("Critical",G7)))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C1BB-71A6-44E2-BDE8-048199745EC5}">
  <sheetPr>
    <pageSetUpPr fitToPage="1"/>
  </sheetPr>
  <dimension ref="Q2:X3"/>
  <sheetViews>
    <sheetView showGridLines="0" topLeftCell="A25" zoomScale="76" zoomScaleNormal="76" workbookViewId="0">
      <selection activeCell="S49" sqref="S49"/>
    </sheetView>
  </sheetViews>
  <sheetFormatPr defaultRowHeight="14.5" x14ac:dyDescent="0.35"/>
  <sheetData>
    <row r="2" spans="17:24" ht="15" customHeight="1" x14ac:dyDescent="0.35"/>
    <row r="3" spans="17:24" x14ac:dyDescent="0.35">
      <c r="Q3" s="12"/>
      <c r="R3" s="12"/>
      <c r="S3" s="12"/>
      <c r="T3" s="12"/>
      <c r="U3" s="12"/>
      <c r="V3" s="12"/>
      <c r="W3" s="12"/>
      <c r="X3" s="12"/>
    </row>
  </sheetData>
  <mergeCells count="1">
    <mergeCell ref="Q3:X3"/>
  </mergeCells>
  <pageMargins left="0.25" right="0.25" top="0.75" bottom="0.75" header="0.3" footer="0.3"/>
  <pageSetup paperSize="8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</vt:lpstr>
      <vt:lpstr>Purchases</vt:lpstr>
      <vt:lpstr>Expenses </vt:lpstr>
      <vt:lpstr>Cash</vt:lpstr>
      <vt:lpstr>Forecast</vt:lpstr>
      <vt:lpstr>Intelligence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Tanya</dc:creator>
  <cp:lastModifiedBy>TANYA RANA</cp:lastModifiedBy>
  <cp:lastPrinted>2026-09-26T10:48:52Z</cp:lastPrinted>
  <dcterms:created xsi:type="dcterms:W3CDTF">2026-09-24T10:19:19Z</dcterms:created>
  <dcterms:modified xsi:type="dcterms:W3CDTF">2026-09-26T12:11:38Z</dcterms:modified>
</cp:coreProperties>
</file>